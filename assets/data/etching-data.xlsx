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22A5336-DABF-4771-A75D-54581DD422B1}" xr6:coauthVersionLast="47" xr6:coauthVersionMax="47" xr10:uidLastSave="{00000000-0000-0000-0000-000000000000}"/>
  <bookViews>
    <workbookView xWindow="-120" yWindow="-120" windowWidth="29040" windowHeight="15720" tabRatio="500" activeTab="5" xr2:uid="{00000000-000D-0000-FFFF-FFFF00000000}"/>
  </bookViews>
  <sheets>
    <sheet name="README" sheetId="1" r:id="rId1"/>
    <sheet name="Design_Data" sheetId="2" r:id="rId2"/>
    <sheet name="ANOVA_Undercut" sheetId="4" r:id="rId3"/>
    <sheet name="ANOVA_Angle" sheetId="5" r:id="rId4"/>
    <sheet name="Regression" sheetId="3" r:id="rId5"/>
    <sheet name="Optimization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8" i="6" l="1"/>
  <c r="F8" i="6"/>
  <c r="E8" i="6"/>
  <c r="G7" i="6"/>
  <c r="F7" i="6"/>
  <c r="E7" i="6"/>
  <c r="G6" i="6"/>
  <c r="F6" i="6"/>
  <c r="E6" i="6"/>
  <c r="G5" i="6"/>
  <c r="F5" i="6"/>
  <c r="E5" i="6"/>
  <c r="L55" i="2"/>
  <c r="J55" i="2"/>
  <c r="H55" i="2"/>
  <c r="N55" i="2" s="1"/>
  <c r="G55" i="2"/>
  <c r="F55" i="2"/>
  <c r="M55" i="2" s="1"/>
  <c r="M54" i="2"/>
  <c r="K54" i="2"/>
  <c r="I54" i="2"/>
  <c r="H54" i="2"/>
  <c r="G54" i="2"/>
  <c r="N54" i="2" s="1"/>
  <c r="F54" i="2"/>
  <c r="L54" i="2" s="1"/>
  <c r="N53" i="2"/>
  <c r="J53" i="2"/>
  <c r="H53" i="2"/>
  <c r="K53" i="2" s="1"/>
  <c r="G53" i="2"/>
  <c r="F53" i="2"/>
  <c r="I53" i="2" s="1"/>
  <c r="M52" i="2"/>
  <c r="K52" i="2"/>
  <c r="I52" i="2"/>
  <c r="H52" i="2"/>
  <c r="G52" i="2"/>
  <c r="J52" i="2" s="1"/>
  <c r="F52" i="2"/>
  <c r="L52" i="2" s="1"/>
  <c r="J51" i="2"/>
  <c r="H51" i="2"/>
  <c r="K51" i="2" s="1"/>
  <c r="G51" i="2"/>
  <c r="F51" i="2"/>
  <c r="I51" i="2" s="1"/>
  <c r="M50" i="2"/>
  <c r="K50" i="2"/>
  <c r="I50" i="2"/>
  <c r="H50" i="2"/>
  <c r="G50" i="2"/>
  <c r="J50" i="2" s="1"/>
  <c r="F50" i="2"/>
  <c r="L50" i="2" s="1"/>
  <c r="J49" i="2"/>
  <c r="H49" i="2"/>
  <c r="K49" i="2" s="1"/>
  <c r="G49" i="2"/>
  <c r="F49" i="2"/>
  <c r="M49" i="2" s="1"/>
  <c r="M48" i="2"/>
  <c r="K48" i="2"/>
  <c r="I48" i="2"/>
  <c r="H48" i="2"/>
  <c r="G48" i="2"/>
  <c r="N48" i="2" s="1"/>
  <c r="F48" i="2"/>
  <c r="L47" i="2"/>
  <c r="J47" i="2"/>
  <c r="H47" i="2"/>
  <c r="N47" i="2" s="1"/>
  <c r="G47" i="2"/>
  <c r="F47" i="2"/>
  <c r="M47" i="2" s="1"/>
  <c r="M46" i="2"/>
  <c r="K46" i="2"/>
  <c r="I46" i="2"/>
  <c r="H46" i="2"/>
  <c r="G46" i="2"/>
  <c r="N46" i="2" s="1"/>
  <c r="F46" i="2"/>
  <c r="L46" i="2" s="1"/>
  <c r="N45" i="2"/>
  <c r="J45" i="2"/>
  <c r="H45" i="2"/>
  <c r="K45" i="2" s="1"/>
  <c r="G45" i="2"/>
  <c r="F45" i="2"/>
  <c r="I45" i="2" s="1"/>
  <c r="M44" i="2"/>
  <c r="K44" i="2"/>
  <c r="I44" i="2"/>
  <c r="H44" i="2"/>
  <c r="G44" i="2"/>
  <c r="J44" i="2" s="1"/>
  <c r="F44" i="2"/>
  <c r="L44" i="2" s="1"/>
  <c r="J43" i="2"/>
  <c r="H43" i="2"/>
  <c r="K43" i="2" s="1"/>
  <c r="G43" i="2"/>
  <c r="F43" i="2"/>
  <c r="I43" i="2" s="1"/>
  <c r="M42" i="2"/>
  <c r="K42" i="2"/>
  <c r="I42" i="2"/>
  <c r="H42" i="2"/>
  <c r="G42" i="2"/>
  <c r="J42" i="2" s="1"/>
  <c r="F42" i="2"/>
  <c r="L42" i="2" s="1"/>
  <c r="J41" i="2"/>
  <c r="H41" i="2"/>
  <c r="K41" i="2" s="1"/>
  <c r="G41" i="2"/>
  <c r="F41" i="2"/>
  <c r="M41" i="2" s="1"/>
  <c r="M40" i="2"/>
  <c r="K40" i="2"/>
  <c r="I40" i="2"/>
  <c r="H40" i="2"/>
  <c r="G40" i="2"/>
  <c r="N40" i="2" s="1"/>
  <c r="F40" i="2"/>
  <c r="L39" i="2"/>
  <c r="J39" i="2"/>
  <c r="H39" i="2"/>
  <c r="N39" i="2" s="1"/>
  <c r="G39" i="2"/>
  <c r="F39" i="2"/>
  <c r="M39" i="2" s="1"/>
  <c r="M38" i="2"/>
  <c r="K38" i="2"/>
  <c r="I38" i="2"/>
  <c r="H38" i="2"/>
  <c r="G38" i="2"/>
  <c r="N38" i="2" s="1"/>
  <c r="F38" i="2"/>
  <c r="L38" i="2" s="1"/>
  <c r="N37" i="2"/>
  <c r="J37" i="2"/>
  <c r="H37" i="2"/>
  <c r="K37" i="2" s="1"/>
  <c r="G37" i="2"/>
  <c r="F37" i="2"/>
  <c r="I37" i="2" s="1"/>
  <c r="M36" i="2"/>
  <c r="K36" i="2"/>
  <c r="I36" i="2"/>
  <c r="H36" i="2"/>
  <c r="G36" i="2"/>
  <c r="J36" i="2" s="1"/>
  <c r="F36" i="2"/>
  <c r="L36" i="2" s="1"/>
  <c r="J35" i="2"/>
  <c r="H35" i="2"/>
  <c r="K35" i="2" s="1"/>
  <c r="G35" i="2"/>
  <c r="F35" i="2"/>
  <c r="I35" i="2" s="1"/>
  <c r="M34" i="2"/>
  <c r="K34" i="2"/>
  <c r="I34" i="2"/>
  <c r="H34" i="2"/>
  <c r="G34" i="2"/>
  <c r="J34" i="2" s="1"/>
  <c r="F34" i="2"/>
  <c r="L34" i="2" s="1"/>
  <c r="J33" i="2"/>
  <c r="H33" i="2"/>
  <c r="K33" i="2" s="1"/>
  <c r="G33" i="2"/>
  <c r="F33" i="2"/>
  <c r="M33" i="2" s="1"/>
  <c r="M32" i="2"/>
  <c r="K32" i="2"/>
  <c r="I32" i="2"/>
  <c r="H32" i="2"/>
  <c r="G32" i="2"/>
  <c r="N32" i="2" s="1"/>
  <c r="F32" i="2"/>
  <c r="L31" i="2"/>
  <c r="J31" i="2"/>
  <c r="H31" i="2"/>
  <c r="N31" i="2" s="1"/>
  <c r="G31" i="2"/>
  <c r="F31" i="2"/>
  <c r="M31" i="2" s="1"/>
  <c r="M30" i="2"/>
  <c r="K30" i="2"/>
  <c r="I30" i="2"/>
  <c r="H30" i="2"/>
  <c r="G30" i="2"/>
  <c r="N30" i="2" s="1"/>
  <c r="F30" i="2"/>
  <c r="L30" i="2" s="1"/>
  <c r="N29" i="2"/>
  <c r="J29" i="2"/>
  <c r="H29" i="2"/>
  <c r="K29" i="2" s="1"/>
  <c r="G29" i="2"/>
  <c r="F29" i="2"/>
  <c r="I29" i="2" s="1"/>
  <c r="M28" i="2"/>
  <c r="K28" i="2"/>
  <c r="I28" i="2"/>
  <c r="H28" i="2"/>
  <c r="G28" i="2"/>
  <c r="J28" i="2" s="1"/>
  <c r="F28" i="2"/>
  <c r="L28" i="2" s="1"/>
  <c r="J27" i="2"/>
  <c r="H27" i="2"/>
  <c r="K27" i="2" s="1"/>
  <c r="G27" i="2"/>
  <c r="F27" i="2"/>
  <c r="I27" i="2" s="1"/>
  <c r="M26" i="2"/>
  <c r="K26" i="2"/>
  <c r="I26" i="2"/>
  <c r="H26" i="2"/>
  <c r="G26" i="2"/>
  <c r="J26" i="2" s="1"/>
  <c r="F26" i="2"/>
  <c r="L26" i="2" s="1"/>
  <c r="J25" i="2"/>
  <c r="H25" i="2"/>
  <c r="K25" i="2" s="1"/>
  <c r="G25" i="2"/>
  <c r="F25" i="2"/>
  <c r="M25" i="2" s="1"/>
  <c r="M24" i="2"/>
  <c r="K24" i="2"/>
  <c r="I24" i="2"/>
  <c r="H24" i="2"/>
  <c r="G24" i="2"/>
  <c r="N24" i="2" s="1"/>
  <c r="F24" i="2"/>
  <c r="L23" i="2"/>
  <c r="J23" i="2"/>
  <c r="H23" i="2"/>
  <c r="N23" i="2" s="1"/>
  <c r="G23" i="2"/>
  <c r="F23" i="2"/>
  <c r="M23" i="2" s="1"/>
  <c r="M22" i="2"/>
  <c r="K22" i="2"/>
  <c r="I22" i="2"/>
  <c r="H22" i="2"/>
  <c r="G22" i="2"/>
  <c r="N22" i="2" s="1"/>
  <c r="F22" i="2"/>
  <c r="L22" i="2" s="1"/>
  <c r="N21" i="2"/>
  <c r="J21" i="2"/>
  <c r="H21" i="2"/>
  <c r="K21" i="2" s="1"/>
  <c r="G21" i="2"/>
  <c r="F21" i="2"/>
  <c r="I21" i="2" s="1"/>
  <c r="M20" i="2"/>
  <c r="K20" i="2"/>
  <c r="I20" i="2"/>
  <c r="H20" i="2"/>
  <c r="G20" i="2"/>
  <c r="J20" i="2" s="1"/>
  <c r="F20" i="2"/>
  <c r="L20" i="2" s="1"/>
  <c r="J19" i="2"/>
  <c r="I19" i="2"/>
  <c r="H19" i="2"/>
  <c r="K19" i="2" s="1"/>
  <c r="G19" i="2"/>
  <c r="F19" i="2"/>
  <c r="M19" i="2" s="1"/>
  <c r="M18" i="2"/>
  <c r="K18" i="2"/>
  <c r="J18" i="2"/>
  <c r="I18" i="2"/>
  <c r="H18" i="2"/>
  <c r="G18" i="2"/>
  <c r="N18" i="2" s="1"/>
  <c r="F18" i="2"/>
  <c r="L18" i="2" s="1"/>
  <c r="K17" i="2"/>
  <c r="J17" i="2"/>
  <c r="H17" i="2"/>
  <c r="N17" i="2" s="1"/>
  <c r="G17" i="2"/>
  <c r="F17" i="2"/>
  <c r="M17" i="2" s="1"/>
  <c r="M16" i="2"/>
  <c r="L16" i="2"/>
  <c r="K16" i="2"/>
  <c r="I16" i="2"/>
  <c r="H16" i="2"/>
  <c r="G16" i="2"/>
  <c r="N16" i="2" s="1"/>
  <c r="F16" i="2"/>
  <c r="M15" i="2"/>
  <c r="L15" i="2"/>
  <c r="J15" i="2"/>
  <c r="H15" i="2"/>
  <c r="N15" i="2" s="1"/>
  <c r="G15" i="2"/>
  <c r="F15" i="2"/>
  <c r="I15" i="2" s="1"/>
  <c r="N14" i="2"/>
  <c r="M14" i="2"/>
  <c r="K14" i="2"/>
  <c r="H14" i="2"/>
  <c r="G14" i="2"/>
  <c r="J14" i="2" s="1"/>
  <c r="F14" i="2"/>
  <c r="L14" i="2" s="1"/>
  <c r="N13" i="2"/>
  <c r="H13" i="2"/>
  <c r="K13" i="2" s="1"/>
  <c r="G13" i="2"/>
  <c r="J13" i="2" s="1"/>
  <c r="F13" i="2"/>
  <c r="I13" i="2" s="1"/>
  <c r="I12" i="2"/>
  <c r="H12" i="2"/>
  <c r="M12" i="2" s="1"/>
  <c r="G12" i="2"/>
  <c r="J12" i="2" s="1"/>
  <c r="F12" i="2"/>
  <c r="L12" i="2" s="1"/>
  <c r="J11" i="2"/>
  <c r="I11" i="2"/>
  <c r="H11" i="2"/>
  <c r="K11" i="2" s="1"/>
  <c r="G11" i="2"/>
  <c r="F11" i="2"/>
  <c r="M11" i="2" s="1"/>
  <c r="M10" i="2"/>
  <c r="K10" i="2"/>
  <c r="J10" i="2"/>
  <c r="I10" i="2"/>
  <c r="H10" i="2"/>
  <c r="G10" i="2"/>
  <c r="N10" i="2" s="1"/>
  <c r="F10" i="2"/>
  <c r="L10" i="2" s="1"/>
  <c r="K9" i="2"/>
  <c r="J9" i="2"/>
  <c r="H9" i="2"/>
  <c r="N9" i="2" s="1"/>
  <c r="G9" i="2"/>
  <c r="F9" i="2"/>
  <c r="M9" i="2" s="1"/>
  <c r="M8" i="2"/>
  <c r="L8" i="2"/>
  <c r="K8" i="2"/>
  <c r="I8" i="2"/>
  <c r="H8" i="2"/>
  <c r="G8" i="2"/>
  <c r="N8" i="2" s="1"/>
  <c r="F8" i="2"/>
  <c r="M7" i="2"/>
  <c r="L7" i="2"/>
  <c r="J7" i="2"/>
  <c r="H7" i="2"/>
  <c r="N7" i="2" s="1"/>
  <c r="G7" i="2"/>
  <c r="F7" i="2"/>
  <c r="I7" i="2" s="1"/>
  <c r="N6" i="2"/>
  <c r="M6" i="2"/>
  <c r="K6" i="2"/>
  <c r="H6" i="2"/>
  <c r="G6" i="2"/>
  <c r="J6" i="2" s="1"/>
  <c r="F6" i="2"/>
  <c r="L6" i="2" s="1"/>
  <c r="N5" i="2"/>
  <c r="H5" i="2"/>
  <c r="K5" i="2" s="1"/>
  <c r="G5" i="2"/>
  <c r="J5" i="2" s="1"/>
  <c r="F5" i="2"/>
  <c r="I5" i="2" s="1"/>
  <c r="I4" i="2"/>
  <c r="H4" i="2"/>
  <c r="M4" i="2" s="1"/>
  <c r="G4" i="2"/>
  <c r="J4" i="2" s="1"/>
  <c r="F4" i="2"/>
  <c r="L4" i="2" s="1"/>
  <c r="J3" i="2"/>
  <c r="I3" i="2"/>
  <c r="H3" i="2"/>
  <c r="K3" i="2" s="1"/>
  <c r="G3" i="2"/>
  <c r="F3" i="2"/>
  <c r="M3" i="2" s="1"/>
  <c r="M2" i="2"/>
  <c r="K2" i="2"/>
  <c r="J2" i="2"/>
  <c r="I2" i="2"/>
  <c r="H2" i="2"/>
  <c r="G2" i="2"/>
  <c r="N2" i="2" s="1"/>
  <c r="F2" i="2"/>
  <c r="L2" i="2" s="1"/>
  <c r="L3" i="2" l="1"/>
  <c r="K4" i="2"/>
  <c r="I6" i="2"/>
  <c r="B5" i="3" s="1" a="1"/>
  <c r="L11" i="2"/>
  <c r="K12" i="2"/>
  <c r="I14" i="2"/>
  <c r="L19" i="2"/>
  <c r="N25" i="2"/>
  <c r="L27" i="2"/>
  <c r="N33" i="2"/>
  <c r="L35" i="2"/>
  <c r="N41" i="2"/>
  <c r="L43" i="2"/>
  <c r="N49" i="2"/>
  <c r="L51" i="2"/>
  <c r="J22" i="2"/>
  <c r="I23" i="2"/>
  <c r="N26" i="2"/>
  <c r="M27" i="2"/>
  <c r="J30" i="2"/>
  <c r="I31" i="2"/>
  <c r="N34" i="2"/>
  <c r="M35" i="2"/>
  <c r="J38" i="2"/>
  <c r="I39" i="2"/>
  <c r="N42" i="2"/>
  <c r="M43" i="2"/>
  <c r="J46" i="2"/>
  <c r="I47" i="2"/>
  <c r="N50" i="2"/>
  <c r="M51" i="2"/>
  <c r="J54" i="2"/>
  <c r="I55" i="2"/>
  <c r="N3" i="2"/>
  <c r="L5" i="2"/>
  <c r="N11" i="2"/>
  <c r="L13" i="2"/>
  <c r="N19" i="2"/>
  <c r="L21" i="2"/>
  <c r="N27" i="2"/>
  <c r="L29" i="2"/>
  <c r="N35" i="2"/>
  <c r="L37" i="2"/>
  <c r="N43" i="2"/>
  <c r="L45" i="2"/>
  <c r="N51" i="2"/>
  <c r="L53" i="2"/>
  <c r="N4" i="2"/>
  <c r="M5" i="2"/>
  <c r="K7" i="2"/>
  <c r="J8" i="2"/>
  <c r="I9" i="2"/>
  <c r="N12" i="2"/>
  <c r="M13" i="2"/>
  <c r="K15" i="2"/>
  <c r="J16" i="2"/>
  <c r="I17" i="2"/>
  <c r="N20" i="2"/>
  <c r="M21" i="2"/>
  <c r="K23" i="2"/>
  <c r="J24" i="2"/>
  <c r="I25" i="2"/>
  <c r="N28" i="2"/>
  <c r="M29" i="2"/>
  <c r="K31" i="2"/>
  <c r="J32" i="2"/>
  <c r="I33" i="2"/>
  <c r="N36" i="2"/>
  <c r="M37" i="2"/>
  <c r="K39" i="2"/>
  <c r="J40" i="2"/>
  <c r="I41" i="2"/>
  <c r="B7" i="3" s="1" a="1"/>
  <c r="N44" i="2"/>
  <c r="M45" i="2"/>
  <c r="K47" i="2"/>
  <c r="J48" i="2"/>
  <c r="I49" i="2"/>
  <c r="N52" i="2"/>
  <c r="M53" i="2"/>
  <c r="K55" i="2"/>
  <c r="L24" i="2"/>
  <c r="L32" i="2"/>
  <c r="L40" i="2"/>
  <c r="L48" i="2"/>
  <c r="L9" i="2"/>
  <c r="L17" i="2"/>
  <c r="L25" i="2"/>
  <c r="L33" i="2"/>
  <c r="L41" i="2"/>
  <c r="L49" i="2"/>
  <c r="F7" i="3" l="1"/>
  <c r="C23" i="3" s="1"/>
  <c r="E7" i="3"/>
  <c r="C24" i="3" s="1"/>
  <c r="D7" i="3"/>
  <c r="C25" i="3" s="1"/>
  <c r="K7" i="3"/>
  <c r="C18" i="3" s="1"/>
  <c r="C7" i="3"/>
  <c r="C26" i="3" s="1"/>
  <c r="J7" i="3"/>
  <c r="C19" i="3" s="1"/>
  <c r="I7" i="3"/>
  <c r="C20" i="3" s="1"/>
  <c r="B7" i="3"/>
  <c r="C27" i="3" s="1"/>
  <c r="H7" i="3"/>
  <c r="C21" i="3" s="1"/>
  <c r="G7" i="3"/>
  <c r="C22" i="3" s="1"/>
  <c r="J5" i="3"/>
  <c r="B19" i="3" s="1"/>
  <c r="I5" i="3"/>
  <c r="B20" i="3" s="1"/>
  <c r="B5" i="3"/>
  <c r="B27" i="3" s="1"/>
  <c r="H5" i="3"/>
  <c r="B21" i="3" s="1"/>
  <c r="G5" i="3"/>
  <c r="B22" i="3" s="1"/>
  <c r="E5" i="3"/>
  <c r="B24" i="3" s="1"/>
  <c r="D5" i="3"/>
  <c r="B25" i="3" s="1"/>
  <c r="F5" i="3"/>
  <c r="B23" i="3" s="1"/>
  <c r="K5" i="3"/>
  <c r="B18" i="3" s="1"/>
  <c r="C5" i="3"/>
  <c r="B26" i="3" s="1"/>
  <c r="M5" i="3"/>
  <c r="B29" i="3" s="1"/>
  <c r="M7" i="3"/>
  <c r="C29" i="3" s="1"/>
  <c r="I8" i="6" l="1"/>
  <c r="I6" i="6"/>
  <c r="I7" i="6"/>
  <c r="I5" i="6"/>
  <c r="H5" i="6"/>
  <c r="H8" i="6"/>
  <c r="H6" i="6"/>
  <c r="H7" i="6"/>
</calcChain>
</file>

<file path=xl/sharedStrings.xml><?xml version="1.0" encoding="utf-8"?>
<sst xmlns="http://schemas.openxmlformats.org/spreadsheetml/2006/main" count="129" uniqueCount="78">
  <si>
    <r>
      <rPr>
        <b/>
        <sz val="13"/>
        <color rgb="FF1F4E78"/>
        <rFont val="Arial"/>
        <family val="2"/>
      </rPr>
      <t>SiO₂ Dry Etch Profile Defect — 3</t>
    </r>
    <r>
      <rPr>
        <b/>
        <sz val="13"/>
        <color rgb="FF1F4E78"/>
        <rFont val="Noto Sans CJK SC"/>
        <family val="2"/>
      </rPr>
      <t xml:space="preserve">인자 </t>
    </r>
    <r>
      <rPr>
        <b/>
        <sz val="13"/>
        <color rgb="FF1F4E78"/>
        <rFont val="Arial"/>
        <family val="2"/>
      </rPr>
      <t>3</t>
    </r>
    <r>
      <rPr>
        <b/>
        <sz val="13"/>
        <color rgb="FF1F4E78"/>
        <rFont val="Noto Sans CJK SC"/>
        <family val="2"/>
      </rPr>
      <t>수준 완전요인</t>
    </r>
    <r>
      <rPr>
        <b/>
        <sz val="13"/>
        <color rgb="FF1F4E78"/>
        <rFont val="Arial"/>
        <family val="2"/>
      </rPr>
      <t>(3³) × 2</t>
    </r>
    <r>
      <rPr>
        <b/>
        <sz val="13"/>
        <color rgb="FF1F4E78"/>
        <rFont val="Noto Sans CJK SC"/>
        <family val="2"/>
      </rPr>
      <t xml:space="preserve">반복 </t>
    </r>
    <r>
      <rPr>
        <b/>
        <sz val="13"/>
        <color rgb="FF1F4E78"/>
        <rFont val="Arial"/>
        <family val="2"/>
      </rPr>
      <t xml:space="preserve">RSM </t>
    </r>
    <r>
      <rPr>
        <b/>
        <sz val="13"/>
        <color rgb="FF1F4E78"/>
        <rFont val="Noto Sans CJK SC"/>
        <family val="2"/>
      </rPr>
      <t>분석</t>
    </r>
  </si>
  <si>
    <r>
      <rPr>
        <sz val="11"/>
        <rFont val="Arial"/>
        <family val="2"/>
      </rPr>
      <t>[</t>
    </r>
    <r>
      <rPr>
        <sz val="11"/>
        <rFont val="Noto Sans CJK SC"/>
        <family val="2"/>
      </rPr>
      <t>목적</t>
    </r>
    <r>
      <rPr>
        <sz val="11"/>
        <rFont val="Arial"/>
        <family val="2"/>
      </rPr>
      <t xml:space="preserve">] CF₄ </t>
    </r>
    <r>
      <rPr>
        <sz val="11"/>
        <rFont val="Noto Sans CJK SC"/>
        <family val="2"/>
      </rPr>
      <t>단독</t>
    </r>
    <r>
      <rPr>
        <sz val="11"/>
        <rFont val="Arial"/>
        <family val="2"/>
      </rPr>
      <t xml:space="preserve">/100mTorr/50W </t>
    </r>
    <r>
      <rPr>
        <sz val="11"/>
        <rFont val="Noto Sans CJK SC"/>
        <family val="2"/>
      </rPr>
      <t xml:space="preserve">현공정에서 발생한 </t>
    </r>
    <r>
      <rPr>
        <sz val="11"/>
        <rFont val="Arial"/>
        <family val="2"/>
      </rPr>
      <t>2</t>
    </r>
    <r>
      <rPr>
        <sz val="11"/>
        <rFont val="Noto Sans CJK SC"/>
        <family val="2"/>
      </rPr>
      <t xml:space="preserve">종 </t>
    </r>
    <r>
      <rPr>
        <sz val="11"/>
        <rFont val="Arial"/>
        <family val="2"/>
      </rPr>
      <t>profile defect(</t>
    </r>
    <r>
      <rPr>
        <sz val="11"/>
        <rFont val="Noto Sans CJK SC"/>
        <family val="2"/>
      </rPr>
      <t xml:space="preserve">상부 </t>
    </r>
    <r>
      <rPr>
        <sz val="11"/>
        <rFont val="Arial"/>
        <family val="2"/>
      </rPr>
      <t xml:space="preserve">Undercut, </t>
    </r>
    <r>
      <rPr>
        <sz val="11"/>
        <rFont val="Noto Sans CJK SC"/>
        <family val="2"/>
      </rPr>
      <t xml:space="preserve">하부 </t>
    </r>
    <r>
      <rPr>
        <sz val="11"/>
        <rFont val="Arial"/>
        <family val="2"/>
      </rPr>
      <t>Taper)</t>
    </r>
    <r>
      <rPr>
        <sz val="11"/>
        <rFont val="Noto Sans CJK SC"/>
        <family val="2"/>
      </rPr>
      <t>를</t>
    </r>
  </si>
  <si>
    <r>
      <rPr>
        <sz val="11"/>
        <rFont val="Noto Sans CJK SC"/>
        <family val="2"/>
      </rPr>
      <t xml:space="preserve">       실제 </t>
    </r>
    <r>
      <rPr>
        <sz val="11"/>
        <rFont val="Arial"/>
        <family val="2"/>
      </rPr>
      <t xml:space="preserve">SiO₂ RIE/ICP </t>
    </r>
    <r>
      <rPr>
        <sz val="11"/>
        <rFont val="Noto Sans CJK SC"/>
        <family val="2"/>
      </rPr>
      <t xml:space="preserve">장비 운전범위 내 </t>
    </r>
    <r>
      <rPr>
        <sz val="11"/>
        <rFont val="Arial"/>
        <family val="2"/>
      </rPr>
      <t>3</t>
    </r>
    <r>
      <rPr>
        <sz val="11"/>
        <rFont val="Noto Sans CJK SC"/>
        <family val="2"/>
      </rPr>
      <t xml:space="preserve">인자 </t>
    </r>
    <r>
      <rPr>
        <sz val="11"/>
        <rFont val="Arial"/>
        <family val="2"/>
      </rPr>
      <t>3</t>
    </r>
    <r>
      <rPr>
        <sz val="11"/>
        <rFont val="Noto Sans CJK SC"/>
        <family val="2"/>
      </rPr>
      <t xml:space="preserve">수준으로 </t>
    </r>
    <r>
      <rPr>
        <sz val="11"/>
        <rFont val="Arial"/>
        <family val="2"/>
      </rPr>
      <t>sweep</t>
    </r>
    <r>
      <rPr>
        <sz val="11"/>
        <rFont val="Noto Sans CJK SC"/>
        <family val="2"/>
      </rPr>
      <t>하여 경향성</t>
    </r>
    <r>
      <rPr>
        <sz val="11"/>
        <rFont val="Arial"/>
        <family val="2"/>
      </rPr>
      <t>·</t>
    </r>
    <r>
      <rPr>
        <sz val="11"/>
        <rFont val="Noto Sans CJK SC"/>
        <family val="2"/>
      </rPr>
      <t>곡률</t>
    </r>
    <r>
      <rPr>
        <sz val="11"/>
        <rFont val="Arial"/>
        <family val="2"/>
      </rPr>
      <t>·</t>
    </r>
    <r>
      <rPr>
        <sz val="11"/>
        <rFont val="Noto Sans CJK SC"/>
        <family val="2"/>
      </rPr>
      <t>최적점을 도출</t>
    </r>
    <r>
      <rPr>
        <sz val="11"/>
        <rFont val="Arial"/>
        <family val="2"/>
      </rPr>
      <t>.</t>
    </r>
  </si>
  <si>
    <r>
      <rPr>
        <sz val="11"/>
        <rFont val="Arial"/>
        <family val="2"/>
      </rPr>
      <t>[</t>
    </r>
    <r>
      <rPr>
        <sz val="11"/>
        <rFont val="Noto Sans CJK SC"/>
        <family val="2"/>
      </rPr>
      <t>정직성</t>
    </r>
    <r>
      <rPr>
        <sz val="11"/>
        <rFont val="Arial"/>
        <family val="2"/>
      </rPr>
      <t xml:space="preserve">] </t>
    </r>
    <r>
      <rPr>
        <sz val="11"/>
        <rFont val="Noto Sans CJK SC"/>
        <family val="2"/>
      </rPr>
      <t>실공정 실측 미제공 → 식각 메커니즘 기반 합성 데이터</t>
    </r>
    <r>
      <rPr>
        <sz val="11"/>
        <rFont val="Arial"/>
        <family val="2"/>
      </rPr>
      <t>(2</t>
    </r>
    <r>
      <rPr>
        <sz val="11"/>
        <rFont val="Noto Sans CJK SC"/>
        <family val="2"/>
      </rPr>
      <t>차 반응표면 구조로 생성</t>
    </r>
    <r>
      <rPr>
        <sz val="11"/>
        <rFont val="Arial"/>
        <family val="2"/>
      </rPr>
      <t xml:space="preserve">). </t>
    </r>
    <r>
      <rPr>
        <sz val="11"/>
        <rFont val="Noto Sans CJK SC"/>
        <family val="2"/>
      </rPr>
      <t>실측치 아님</t>
    </r>
    <r>
      <rPr>
        <sz val="11"/>
        <rFont val="Arial"/>
        <family val="2"/>
      </rPr>
      <t>.</t>
    </r>
  </si>
  <si>
    <r>
      <rPr>
        <sz val="11"/>
        <rFont val="Noto Sans CJK SC"/>
        <family val="2"/>
      </rPr>
      <t xml:space="preserve">       인자 범위는 문헌</t>
    </r>
    <r>
      <rPr>
        <sz val="11"/>
        <rFont val="Arial"/>
        <family val="2"/>
      </rPr>
      <t>·</t>
    </r>
    <r>
      <rPr>
        <sz val="11"/>
        <rFont val="Noto Sans CJK SC"/>
        <family val="2"/>
      </rPr>
      <t xml:space="preserve">특허의 </t>
    </r>
    <r>
      <rPr>
        <sz val="11"/>
        <rFont val="Arial"/>
        <family val="2"/>
      </rPr>
      <t xml:space="preserve">SiO₂ </t>
    </r>
    <r>
      <rPr>
        <sz val="11"/>
        <rFont val="Noto Sans CJK SC"/>
        <family val="2"/>
      </rPr>
      <t>식각 장비 운전값에 근거</t>
    </r>
    <r>
      <rPr>
        <sz val="11"/>
        <rFont val="Arial"/>
        <family val="2"/>
      </rPr>
      <t xml:space="preserve">(README </t>
    </r>
    <r>
      <rPr>
        <sz val="11"/>
        <rFont val="Noto Sans CJK SC"/>
        <family val="2"/>
      </rPr>
      <t>하단 출처</t>
    </r>
    <r>
      <rPr>
        <sz val="11"/>
        <rFont val="Arial"/>
        <family val="2"/>
      </rPr>
      <t>).</t>
    </r>
  </si>
  <si>
    <r>
      <rPr>
        <b/>
        <sz val="11"/>
        <rFont val="Arial"/>
        <family val="2"/>
      </rPr>
      <t>[</t>
    </r>
    <r>
      <rPr>
        <b/>
        <sz val="11"/>
        <rFont val="Noto Sans CJK SC"/>
        <family val="2"/>
      </rPr>
      <t>인자</t>
    </r>
    <r>
      <rPr>
        <b/>
        <sz val="11"/>
        <rFont val="Arial"/>
        <family val="2"/>
      </rPr>
      <t>·</t>
    </r>
    <r>
      <rPr>
        <b/>
        <sz val="11"/>
        <rFont val="Noto Sans CJK SC"/>
        <family val="2"/>
      </rPr>
      <t>수준</t>
    </r>
    <r>
      <rPr>
        <b/>
        <sz val="11"/>
        <rFont val="Arial"/>
        <family val="2"/>
      </rPr>
      <t xml:space="preserve">]  </t>
    </r>
    <r>
      <rPr>
        <b/>
        <sz val="11"/>
        <rFont val="Noto Sans CJK SC"/>
        <family val="2"/>
      </rPr>
      <t xml:space="preserve">코딩 </t>
    </r>
    <r>
      <rPr>
        <b/>
        <sz val="11"/>
        <rFont val="Arial"/>
        <family val="2"/>
      </rPr>
      <t>-1 / 0 / +1</t>
    </r>
  </si>
  <si>
    <r>
      <rPr>
        <sz val="11"/>
        <rFont val="Arial"/>
        <family val="2"/>
      </rPr>
      <t xml:space="preserve">   G = CHF₃ </t>
    </r>
    <r>
      <rPr>
        <sz val="11"/>
        <rFont val="Noto Sans CJK SC"/>
        <family val="2"/>
      </rPr>
      <t xml:space="preserve">첨가비 </t>
    </r>
    <r>
      <rPr>
        <sz val="11"/>
        <rFont val="Arial"/>
        <family val="2"/>
      </rPr>
      <t>: 0% / 20% / 40%   (</t>
    </r>
    <r>
      <rPr>
        <sz val="11"/>
        <rFont val="Noto Sans CJK SC"/>
        <family val="2"/>
      </rPr>
      <t>현공정</t>
    </r>
    <r>
      <rPr>
        <sz val="11"/>
        <rFont val="Arial"/>
        <family val="2"/>
      </rPr>
      <t>=0%, CF₄</t>
    </r>
    <r>
      <rPr>
        <sz val="11"/>
        <rFont val="Noto Sans CJK SC"/>
        <family val="2"/>
      </rPr>
      <t>단독 → 단방향</t>
    </r>
    <r>
      <rPr>
        <sz val="11"/>
        <rFont val="Arial"/>
        <family val="2"/>
      </rPr>
      <t>: passivation</t>
    </r>
    <r>
      <rPr>
        <sz val="11"/>
        <rFont val="Noto Sans CJK SC"/>
        <family val="2"/>
      </rPr>
      <t>은 증가만 가능</t>
    </r>
    <r>
      <rPr>
        <sz val="11"/>
        <rFont val="Arial"/>
        <family val="2"/>
      </rPr>
      <t>)</t>
    </r>
  </si>
  <si>
    <r>
      <rPr>
        <sz val="11"/>
        <rFont val="Arial"/>
        <family val="2"/>
      </rPr>
      <t xml:space="preserve">   P = Pressure    : 50 / 100 / 150 mTorr   (</t>
    </r>
    <r>
      <rPr>
        <sz val="11"/>
        <rFont val="Noto Sans CJK SC"/>
        <family val="2"/>
      </rPr>
      <t>현공정</t>
    </r>
    <r>
      <rPr>
        <sz val="11"/>
        <rFont val="Arial"/>
        <family val="2"/>
      </rPr>
      <t>=100=</t>
    </r>
    <r>
      <rPr>
        <sz val="11"/>
        <rFont val="Noto Sans CJK SC"/>
        <family val="2"/>
      </rPr>
      <t>중앙</t>
    </r>
    <r>
      <rPr>
        <sz val="11"/>
        <rFont val="Arial"/>
        <family val="2"/>
      </rPr>
      <t>)</t>
    </r>
  </si>
  <si>
    <r>
      <rPr>
        <sz val="11"/>
        <rFont val="Arial"/>
        <family val="2"/>
      </rPr>
      <t xml:space="preserve">   B = Bias power  : 25 / 50 / 75 W   (</t>
    </r>
    <r>
      <rPr>
        <sz val="11"/>
        <rFont val="Noto Sans CJK SC"/>
        <family val="2"/>
      </rPr>
      <t>현공정</t>
    </r>
    <r>
      <rPr>
        <sz val="11"/>
        <rFont val="Arial"/>
        <family val="2"/>
      </rPr>
      <t>=50=</t>
    </r>
    <r>
      <rPr>
        <sz val="11"/>
        <rFont val="Noto Sans CJK SC"/>
        <family val="2"/>
      </rPr>
      <t>중앙</t>
    </r>
    <r>
      <rPr>
        <sz val="11"/>
        <rFont val="Arial"/>
        <family val="2"/>
      </rPr>
      <t>)</t>
    </r>
  </si>
  <si>
    <r>
      <rPr>
        <sz val="11"/>
        <rFont val="Noto Sans CJK SC"/>
        <family val="2"/>
      </rPr>
      <t xml:space="preserve">   고정</t>
    </r>
    <r>
      <rPr>
        <sz val="11"/>
        <rFont val="Arial"/>
        <family val="2"/>
      </rPr>
      <t>: Process Temp 30℃, Source Power 50W, EPD + Overetch 10%</t>
    </r>
  </si>
  <si>
    <r>
      <rPr>
        <b/>
        <sz val="11"/>
        <rFont val="Arial"/>
        <family val="2"/>
      </rPr>
      <t>[</t>
    </r>
    <r>
      <rPr>
        <b/>
        <sz val="11"/>
        <rFont val="Noto Sans CJK SC"/>
        <family val="2"/>
      </rPr>
      <t>응답</t>
    </r>
    <r>
      <rPr>
        <b/>
        <sz val="11"/>
        <rFont val="Arial"/>
        <family val="2"/>
      </rPr>
      <t xml:space="preserve">]  Y1=Undercut(nm, </t>
    </r>
    <r>
      <rPr>
        <b/>
        <sz val="11"/>
        <rFont val="Noto Sans CJK SC"/>
        <family val="2"/>
      </rPr>
      <t>작을수록 개선</t>
    </r>
    <r>
      <rPr>
        <b/>
        <sz val="11"/>
        <rFont val="Arial"/>
        <family val="2"/>
      </rPr>
      <t>)   Y2=Sidewall Angle(°, 90=</t>
    </r>
    <r>
      <rPr>
        <b/>
        <sz val="11"/>
        <rFont val="Noto Sans CJK SC"/>
        <family val="2"/>
      </rPr>
      <t>수직</t>
    </r>
    <r>
      <rPr>
        <b/>
        <sz val="11"/>
        <rFont val="Arial"/>
        <family val="2"/>
      </rPr>
      <t>)</t>
    </r>
  </si>
  <si>
    <r>
      <rPr>
        <sz val="11"/>
        <rFont val="Arial"/>
        <family val="2"/>
      </rPr>
      <t>[</t>
    </r>
    <r>
      <rPr>
        <sz val="11"/>
        <rFont val="Noto Sans CJK SC"/>
        <family val="2"/>
      </rPr>
      <t>구조</t>
    </r>
    <r>
      <rPr>
        <sz val="11"/>
        <rFont val="Arial"/>
        <family val="2"/>
      </rPr>
      <t>]  3³=27</t>
    </r>
    <r>
      <rPr>
        <sz val="11"/>
        <rFont val="Noto Sans CJK SC"/>
        <family val="2"/>
      </rPr>
      <t xml:space="preserve">조건 </t>
    </r>
    <r>
      <rPr>
        <sz val="11"/>
        <rFont val="Arial"/>
        <family val="2"/>
      </rPr>
      <t>× 2</t>
    </r>
    <r>
      <rPr>
        <sz val="11"/>
        <rFont val="Noto Sans CJK SC"/>
        <family val="2"/>
      </rPr>
      <t xml:space="preserve">반복 </t>
    </r>
    <r>
      <rPr>
        <sz val="11"/>
        <rFont val="Arial"/>
        <family val="2"/>
      </rPr>
      <t xml:space="preserve">= 54 run.  </t>
    </r>
    <r>
      <rPr>
        <sz val="11"/>
        <rFont val="Noto Sans CJK SC"/>
        <family val="2"/>
      </rPr>
      <t>완전요인이므로 곡률</t>
    </r>
    <r>
      <rPr>
        <sz val="11"/>
        <rFont val="Arial"/>
        <family val="2"/>
      </rPr>
      <t>(2</t>
    </r>
    <r>
      <rPr>
        <sz val="11"/>
        <rFont val="Noto Sans CJK SC"/>
        <family val="2"/>
      </rPr>
      <t>차항</t>
    </r>
    <r>
      <rPr>
        <sz val="11"/>
        <rFont val="Arial"/>
        <family val="2"/>
      </rPr>
      <t>)</t>
    </r>
    <r>
      <rPr>
        <sz val="11"/>
        <rFont val="Noto Sans CJK SC"/>
        <family val="2"/>
      </rPr>
      <t xml:space="preserve">을 직접 추정 → </t>
    </r>
    <r>
      <rPr>
        <sz val="11"/>
        <rFont val="Arial"/>
        <family val="2"/>
      </rPr>
      <t xml:space="preserve">curvature </t>
    </r>
    <r>
      <rPr>
        <sz val="11"/>
        <rFont val="Noto Sans CJK SC"/>
        <family val="2"/>
      </rPr>
      <t>행 불필요</t>
    </r>
  </si>
  <si>
    <r>
      <rPr>
        <b/>
        <sz val="11"/>
        <rFont val="Arial"/>
        <family val="2"/>
      </rPr>
      <t>[</t>
    </r>
    <r>
      <rPr>
        <b/>
        <sz val="11"/>
        <rFont val="Noto Sans CJK SC"/>
        <family val="2"/>
      </rPr>
      <t>시트</t>
    </r>
    <r>
      <rPr>
        <b/>
        <sz val="11"/>
        <rFont val="Arial"/>
        <family val="2"/>
      </rPr>
      <t>]</t>
    </r>
  </si>
  <si>
    <r>
      <rPr>
        <sz val="11"/>
        <rFont val="Arial"/>
        <family val="2"/>
      </rPr>
      <t xml:space="preserve">   Design_Data : </t>
    </r>
    <r>
      <rPr>
        <sz val="11"/>
        <rFont val="Noto Sans CJK SC"/>
        <family val="2"/>
      </rPr>
      <t>설계행렬</t>
    </r>
    <r>
      <rPr>
        <sz val="11"/>
        <rFont val="Arial"/>
        <family val="2"/>
      </rPr>
      <t xml:space="preserve">. </t>
    </r>
    <r>
      <rPr>
        <sz val="11"/>
        <rFont val="Noto Sans CJK SC"/>
        <family val="2"/>
      </rPr>
      <t>코딩</t>
    </r>
    <r>
      <rPr>
        <sz val="11"/>
        <rFont val="Arial"/>
        <family val="2"/>
      </rPr>
      <t>·2</t>
    </r>
    <r>
      <rPr>
        <sz val="11"/>
        <rFont val="Noto Sans CJK SC"/>
        <family val="2"/>
      </rPr>
      <t>차항</t>
    </r>
    <r>
      <rPr>
        <sz val="11"/>
        <rFont val="Arial"/>
        <family val="2"/>
      </rPr>
      <t>·</t>
    </r>
    <r>
      <rPr>
        <sz val="11"/>
        <rFont val="Noto Sans CJK SC"/>
        <family val="2"/>
      </rPr>
      <t>교호작용 열은 실제수준에서 자동 계산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수식</t>
    </r>
    <r>
      <rPr>
        <sz val="11"/>
        <rFont val="Arial"/>
        <family val="2"/>
      </rPr>
      <t xml:space="preserve">). </t>
    </r>
    <r>
      <rPr>
        <sz val="11"/>
        <rFont val="Noto Sans CJK SC"/>
        <family val="2"/>
      </rPr>
      <t>응답</t>
    </r>
    <r>
      <rPr>
        <sz val="11"/>
        <rFont val="Arial"/>
        <family val="2"/>
      </rPr>
      <t>=</t>
    </r>
    <r>
      <rPr>
        <sz val="11"/>
        <rFont val="Noto Sans CJK SC"/>
        <family val="2"/>
      </rPr>
      <t>파란 입력값</t>
    </r>
    <r>
      <rPr>
        <sz val="11"/>
        <rFont val="Arial"/>
        <family val="2"/>
      </rPr>
      <t>.</t>
    </r>
  </si>
  <si>
    <r>
      <rPr>
        <sz val="11"/>
        <rFont val="Arial"/>
        <family val="2"/>
      </rPr>
      <t xml:space="preserve">   Regression  : LINEST </t>
    </r>
    <r>
      <rPr>
        <sz val="11"/>
        <rFont val="Noto Sans CJK SC"/>
        <family val="2"/>
      </rPr>
      <t xml:space="preserve">배열수식으로 </t>
    </r>
    <r>
      <rPr>
        <sz val="11"/>
        <rFont val="Arial"/>
        <family val="2"/>
      </rPr>
      <t>2</t>
    </r>
    <r>
      <rPr>
        <sz val="11"/>
        <rFont val="Noto Sans CJK SC"/>
        <family val="2"/>
      </rPr>
      <t>차 회귀계수</t>
    </r>
    <r>
      <rPr>
        <sz val="11"/>
        <rFont val="Arial"/>
        <family val="2"/>
      </rPr>
      <t xml:space="preserve">·R² </t>
    </r>
    <r>
      <rPr>
        <sz val="11"/>
        <rFont val="Noto Sans CJK SC"/>
        <family val="2"/>
      </rPr>
      <t>실시간 산출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입력 바뀌면 갱신</t>
    </r>
    <r>
      <rPr>
        <sz val="11"/>
        <rFont val="Arial"/>
        <family val="2"/>
      </rPr>
      <t>).</t>
    </r>
  </si>
  <si>
    <r>
      <rPr>
        <sz val="11"/>
        <rFont val="Arial"/>
        <family val="2"/>
      </rPr>
      <t xml:space="preserve">   ANOVA_*     : </t>
    </r>
    <r>
      <rPr>
        <sz val="11"/>
        <rFont val="Noto Sans CJK SC"/>
        <family val="2"/>
      </rPr>
      <t xml:space="preserve">각 항의 </t>
    </r>
    <r>
      <rPr>
        <sz val="11"/>
        <rFont val="Arial"/>
        <family val="2"/>
      </rPr>
      <t>SS·F·p (typ-II, OLS 2</t>
    </r>
    <r>
      <rPr>
        <sz val="11"/>
        <rFont val="Noto Sans CJK SC"/>
        <family val="2"/>
      </rPr>
      <t>차모형 기준</t>
    </r>
    <r>
      <rPr>
        <sz val="11"/>
        <rFont val="Arial"/>
        <family val="2"/>
      </rPr>
      <t xml:space="preserve">). </t>
    </r>
    <r>
      <rPr>
        <sz val="11"/>
        <rFont val="Noto Sans CJK SC"/>
        <family val="2"/>
      </rPr>
      <t>유의성 판정</t>
    </r>
    <r>
      <rPr>
        <sz val="11"/>
        <rFont val="Arial"/>
        <family val="2"/>
      </rPr>
      <t>.</t>
    </r>
  </si>
  <si>
    <r>
      <rPr>
        <sz val="11"/>
        <rFont val="Arial"/>
        <family val="2"/>
      </rPr>
      <t xml:space="preserve">   Optimization: </t>
    </r>
    <r>
      <rPr>
        <sz val="11"/>
        <rFont val="Noto Sans CJK SC"/>
        <family val="2"/>
      </rPr>
      <t>회귀식 기반 시나리오 예측</t>
    </r>
    <r>
      <rPr>
        <sz val="11"/>
        <rFont val="Arial"/>
        <family val="2"/>
      </rPr>
      <t>(</t>
    </r>
    <r>
      <rPr>
        <sz val="11"/>
        <rFont val="Noto Sans CJK SC"/>
        <family val="2"/>
      </rPr>
      <t xml:space="preserve">현공정 </t>
    </r>
    <r>
      <rPr>
        <sz val="11"/>
        <rFont val="Arial"/>
        <family val="2"/>
      </rPr>
      <t xml:space="preserve">vs </t>
    </r>
    <r>
      <rPr>
        <sz val="11"/>
        <rFont val="Noto Sans CJK SC"/>
        <family val="2"/>
      </rPr>
      <t xml:space="preserve">개선안 </t>
    </r>
    <r>
      <rPr>
        <sz val="11"/>
        <rFont val="Arial"/>
        <family val="2"/>
      </rPr>
      <t xml:space="preserve">vs </t>
    </r>
    <r>
      <rPr>
        <sz val="11"/>
        <rFont val="Noto Sans CJK SC"/>
        <family val="2"/>
      </rPr>
      <t>최적점</t>
    </r>
    <r>
      <rPr>
        <sz val="11"/>
        <rFont val="Arial"/>
        <family val="2"/>
      </rPr>
      <t>).</t>
    </r>
  </si>
  <si>
    <r>
      <rPr>
        <sz val="11"/>
        <rFont val="Arial"/>
        <family val="2"/>
      </rPr>
      <t>[</t>
    </r>
    <r>
      <rPr>
        <sz val="11"/>
        <rFont val="Noto Sans CJK SC"/>
        <family val="2"/>
      </rPr>
      <t>모델 축소 참고</t>
    </r>
    <r>
      <rPr>
        <sz val="11"/>
        <rFont val="Arial"/>
        <family val="2"/>
      </rPr>
      <t xml:space="preserve">] </t>
    </r>
    <r>
      <rPr>
        <sz val="11"/>
        <rFont val="Noto Sans CJK SC"/>
        <family val="2"/>
      </rPr>
      <t xml:space="preserve">두 응답 모두 </t>
    </r>
    <r>
      <rPr>
        <sz val="11"/>
        <rFont val="Arial"/>
        <family val="2"/>
      </rPr>
      <t xml:space="preserve">G×P </t>
    </r>
    <r>
      <rPr>
        <sz val="11"/>
        <rFont val="Noto Sans CJK SC"/>
        <family val="2"/>
      </rPr>
      <t>비유의</t>
    </r>
    <r>
      <rPr>
        <sz val="11"/>
        <rFont val="Arial"/>
        <family val="2"/>
      </rPr>
      <t>. Undercut</t>
    </r>
    <r>
      <rPr>
        <sz val="11"/>
        <rFont val="Noto Sans CJK SC"/>
        <family val="2"/>
      </rPr>
      <t xml:space="preserve">은 </t>
    </r>
    <r>
      <rPr>
        <sz val="11"/>
        <rFont val="Arial"/>
        <family val="2"/>
      </rPr>
      <t>P²·B²</t>
    </r>
    <r>
      <rPr>
        <sz val="11"/>
        <rFont val="Noto Sans CJK SC"/>
        <family val="2"/>
      </rPr>
      <t>도 비유의 → 최종모형에서 제외 가능</t>
    </r>
  </si>
  <si>
    <r>
      <rPr>
        <sz val="11"/>
        <rFont val="Arial"/>
        <family val="2"/>
      </rPr>
      <t xml:space="preserve">   (</t>
    </r>
    <r>
      <rPr>
        <sz val="11"/>
        <rFont val="Noto Sans CJK SC"/>
        <family val="2"/>
      </rPr>
      <t>단</t>
    </r>
    <r>
      <rPr>
        <sz val="11"/>
        <rFont val="Arial"/>
        <family val="2"/>
      </rPr>
      <t xml:space="preserve">, </t>
    </r>
    <r>
      <rPr>
        <sz val="11"/>
        <rFont val="Noto Sans CJK SC"/>
        <family val="2"/>
      </rPr>
      <t>위계원칙상 주효과는 유지</t>
    </r>
    <r>
      <rPr>
        <sz val="11"/>
        <rFont val="Arial"/>
        <family val="2"/>
      </rPr>
      <t>).</t>
    </r>
  </si>
  <si>
    <r>
      <rPr>
        <sz val="11"/>
        <rFont val="Arial"/>
        <family val="2"/>
      </rPr>
      <t>[</t>
    </r>
    <r>
      <rPr>
        <sz val="11"/>
        <rFont val="Noto Sans CJK SC"/>
        <family val="2"/>
      </rPr>
      <t>출처</t>
    </r>
    <r>
      <rPr>
        <sz val="11"/>
        <rFont val="Arial"/>
        <family val="2"/>
      </rPr>
      <t xml:space="preserve">] SiO₂ RIE </t>
    </r>
    <r>
      <rPr>
        <sz val="11"/>
        <rFont val="Noto Sans CJK SC"/>
        <family val="2"/>
      </rPr>
      <t>운전범위</t>
    </r>
    <r>
      <rPr>
        <sz val="11"/>
        <rFont val="Arial"/>
        <family val="2"/>
      </rPr>
      <t>: CHF₃/CF₄</t>
    </r>
    <r>
      <rPr>
        <sz val="11"/>
        <rFont val="Noto Sans CJK SC"/>
        <family val="2"/>
      </rPr>
      <t xml:space="preserve">비 </t>
    </r>
    <r>
      <rPr>
        <sz val="11"/>
        <rFont val="Arial"/>
        <family val="2"/>
      </rPr>
      <t>100~500%·CF₄ 15~50% (US6432832); Pressure 4~150 mTorr</t>
    </r>
  </si>
  <si>
    <t xml:space="preserve">   (ResearchGate ICP SiO₂ etch); Bias 44~55W·70W (Science.gov RIE recipe, US6583065).</t>
  </si>
  <si>
    <t>Run</t>
  </si>
  <si>
    <t>CHF3_%</t>
  </si>
  <si>
    <t>Press_mTorr</t>
  </si>
  <si>
    <t>Bias_W</t>
  </si>
  <si>
    <t>Rep</t>
  </si>
  <si>
    <t>G</t>
  </si>
  <si>
    <t>P</t>
  </si>
  <si>
    <t>B</t>
  </si>
  <si>
    <t>G²</t>
  </si>
  <si>
    <t>P²</t>
  </si>
  <si>
    <t>B²</t>
  </si>
  <si>
    <t>G·P</t>
  </si>
  <si>
    <t>G·B</t>
  </si>
  <si>
    <t>P·B</t>
  </si>
  <si>
    <t>Undercut_nm</t>
  </si>
  <si>
    <t>Angle_deg</t>
  </si>
  <si>
    <r>
      <rPr>
        <i/>
        <sz val="9"/>
        <rFont val="Noto Sans CJK SC"/>
        <family val="2"/>
      </rPr>
      <t xml:space="preserve">파란 </t>
    </r>
    <r>
      <rPr>
        <i/>
        <sz val="9"/>
        <rFont val="Arial"/>
        <family val="2"/>
      </rPr>
      <t xml:space="preserve">= </t>
    </r>
    <r>
      <rPr>
        <i/>
        <sz val="9"/>
        <rFont val="Noto Sans CJK SC"/>
        <family val="2"/>
      </rPr>
      <t>합성 응답</t>
    </r>
    <r>
      <rPr>
        <i/>
        <sz val="9"/>
        <rFont val="Arial"/>
        <family val="2"/>
      </rPr>
      <t>(</t>
    </r>
    <r>
      <rPr>
        <i/>
        <sz val="9"/>
        <rFont val="Noto Sans CJK SC"/>
        <family val="2"/>
      </rPr>
      <t>입력</t>
    </r>
    <r>
      <rPr>
        <i/>
        <sz val="9"/>
        <rFont val="Arial"/>
        <family val="2"/>
      </rPr>
      <t xml:space="preserve">) · </t>
    </r>
    <r>
      <rPr>
        <i/>
        <sz val="9"/>
        <rFont val="Noto Sans CJK SC"/>
        <family val="2"/>
      </rPr>
      <t>나머지 코딩</t>
    </r>
    <r>
      <rPr>
        <i/>
        <sz val="9"/>
        <rFont val="Arial"/>
        <family val="2"/>
      </rPr>
      <t>/2</t>
    </r>
    <r>
      <rPr>
        <i/>
        <sz val="9"/>
        <rFont val="Noto Sans CJK SC"/>
        <family val="2"/>
      </rPr>
      <t>차</t>
    </r>
    <r>
      <rPr>
        <i/>
        <sz val="9"/>
        <rFont val="Arial"/>
        <family val="2"/>
      </rPr>
      <t>/</t>
    </r>
    <r>
      <rPr>
        <i/>
        <sz val="9"/>
        <rFont val="Noto Sans CJK SC"/>
        <family val="2"/>
      </rPr>
      <t>교호작용 열은 실제수준에서 자동계산</t>
    </r>
  </si>
  <si>
    <r>
      <rPr>
        <b/>
        <sz val="13"/>
        <color rgb="FF1F4E78"/>
        <rFont val="Noto Sans CJK SC"/>
        <family val="2"/>
      </rPr>
      <t xml:space="preserve">회귀분석 — </t>
    </r>
    <r>
      <rPr>
        <b/>
        <sz val="13"/>
        <color rgb="FF1F4E78"/>
        <rFont val="Arial"/>
        <family val="2"/>
      </rPr>
      <t>2</t>
    </r>
    <r>
      <rPr>
        <b/>
        <sz val="13"/>
        <color rgb="FF1F4E78"/>
        <rFont val="Noto Sans CJK SC"/>
        <family val="2"/>
      </rPr>
      <t xml:space="preserve">차 반응표면 </t>
    </r>
    <r>
      <rPr>
        <b/>
        <sz val="13"/>
        <color rgb="FF1F4E78"/>
        <rFont val="Arial"/>
        <family val="2"/>
      </rPr>
      <t xml:space="preserve">(LINEST </t>
    </r>
    <r>
      <rPr>
        <b/>
        <sz val="13"/>
        <color rgb="FF1F4E78"/>
        <rFont val="Noto Sans CJK SC"/>
        <family val="2"/>
      </rPr>
      <t>실시간</t>
    </r>
    <r>
      <rPr>
        <b/>
        <sz val="13"/>
        <color rgb="FF1F4E78"/>
        <rFont val="Arial"/>
        <family val="2"/>
      </rPr>
      <t>)</t>
    </r>
  </si>
  <si>
    <r>
      <rPr>
        <i/>
        <sz val="9"/>
        <rFont val="Noto Sans CJK SC"/>
        <family val="2"/>
      </rPr>
      <t xml:space="preserve">아래 </t>
    </r>
    <r>
      <rPr>
        <i/>
        <sz val="9"/>
        <rFont val="Arial"/>
        <family val="2"/>
      </rPr>
      <t xml:space="preserve">LINEST </t>
    </r>
    <r>
      <rPr>
        <i/>
        <sz val="9"/>
        <rFont val="Noto Sans CJK SC"/>
        <family val="2"/>
      </rPr>
      <t>배열은 계수를 역순으로 반환</t>
    </r>
    <r>
      <rPr>
        <i/>
        <sz val="9"/>
        <rFont val="Arial"/>
        <family val="2"/>
      </rPr>
      <t>(</t>
    </r>
    <r>
      <rPr>
        <i/>
        <sz val="9"/>
        <rFont val="Noto Sans CJK SC"/>
        <family val="2"/>
      </rPr>
      <t>마지막 예측변수→절편</t>
    </r>
    <r>
      <rPr>
        <i/>
        <sz val="9"/>
        <rFont val="Arial"/>
        <family val="2"/>
      </rPr>
      <t xml:space="preserve">). Tidy </t>
    </r>
    <r>
      <rPr>
        <i/>
        <sz val="9"/>
        <rFont val="Noto Sans CJK SC"/>
        <family val="2"/>
      </rPr>
      <t>표에서 올바로 매핑함</t>
    </r>
    <r>
      <rPr>
        <i/>
        <sz val="9"/>
        <rFont val="Arial"/>
        <family val="2"/>
      </rPr>
      <t>.</t>
    </r>
  </si>
  <si>
    <r>
      <rPr>
        <b/>
        <sz val="11"/>
        <rFont val="Noto Sans CJK SC"/>
        <family val="2"/>
      </rPr>
      <t xml:space="preserve">회귀계수 </t>
    </r>
    <r>
      <rPr>
        <b/>
        <sz val="11"/>
        <rFont val="Arial"/>
        <family val="2"/>
      </rPr>
      <t xml:space="preserve">(LINEST · </t>
    </r>
    <r>
      <rPr>
        <b/>
        <sz val="11"/>
        <rFont val="Noto Sans CJK SC"/>
        <family val="2"/>
      </rPr>
      <t>실시간</t>
    </r>
    <r>
      <rPr>
        <b/>
        <sz val="11"/>
        <rFont val="Arial"/>
        <family val="2"/>
      </rPr>
      <t xml:space="preserve">, </t>
    </r>
    <r>
      <rPr>
        <b/>
        <sz val="11"/>
        <rFont val="Noto Sans CJK SC"/>
        <family val="2"/>
      </rPr>
      <t>역순 반환</t>
    </r>
    <r>
      <rPr>
        <b/>
        <sz val="11"/>
        <rFont val="Arial"/>
        <family val="2"/>
      </rPr>
      <t>)</t>
    </r>
  </si>
  <si>
    <t>R²</t>
  </si>
  <si>
    <t>Undercut</t>
  </si>
  <si>
    <t>Angle</t>
  </si>
  <si>
    <r>
      <rPr>
        <b/>
        <sz val="11"/>
        <rFont val="Arial"/>
        <family val="2"/>
      </rPr>
      <t xml:space="preserve">Tidy </t>
    </r>
    <r>
      <rPr>
        <b/>
        <sz val="11"/>
        <rFont val="Noto Sans CJK SC"/>
        <family val="2"/>
      </rPr>
      <t xml:space="preserve">계수표 </t>
    </r>
    <r>
      <rPr>
        <b/>
        <sz val="11"/>
        <rFont val="Arial"/>
        <family val="2"/>
      </rPr>
      <t>(</t>
    </r>
    <r>
      <rPr>
        <b/>
        <sz val="11"/>
        <rFont val="Noto Sans CJK SC"/>
        <family val="2"/>
      </rPr>
      <t xml:space="preserve">코딩 </t>
    </r>
    <r>
      <rPr>
        <b/>
        <sz val="11"/>
        <rFont val="Arial"/>
        <family val="2"/>
      </rPr>
      <t>-1..+1)</t>
    </r>
  </si>
  <si>
    <t>Term</t>
  </si>
  <si>
    <r>
      <rPr>
        <b/>
        <sz val="11"/>
        <color rgb="FFFFFFFF"/>
        <rFont val="Arial"/>
        <family val="2"/>
      </rPr>
      <t xml:space="preserve">Undercut </t>
    </r>
    <r>
      <rPr>
        <b/>
        <sz val="11"/>
        <color rgb="FFFFFFFF"/>
        <rFont val="Noto Sans CJK SC"/>
        <family val="2"/>
      </rPr>
      <t>계수</t>
    </r>
  </si>
  <si>
    <r>
      <rPr>
        <b/>
        <sz val="11"/>
        <color rgb="FFFFFFFF"/>
        <rFont val="Arial"/>
        <family val="2"/>
      </rPr>
      <t xml:space="preserve">Angle </t>
    </r>
    <r>
      <rPr>
        <b/>
        <sz val="11"/>
        <color rgb="FFFFFFFF"/>
        <rFont val="Noto Sans CJK SC"/>
        <family val="2"/>
      </rPr>
      <t>계수</t>
    </r>
  </si>
  <si>
    <t>절편</t>
  </si>
  <si>
    <t>G (CHF₃)</t>
  </si>
  <si>
    <t>P (Press)</t>
  </si>
  <si>
    <t>B (Bias)</t>
  </si>
  <si>
    <t>ANOVA — Undercut (nm)</t>
  </si>
  <si>
    <r>
      <rPr>
        <i/>
        <sz val="9"/>
        <rFont val="Arial"/>
        <family val="2"/>
      </rPr>
      <t>OLS 2</t>
    </r>
    <r>
      <rPr>
        <i/>
        <sz val="9"/>
        <rFont val="Noto Sans CJK SC"/>
        <family val="2"/>
      </rPr>
      <t xml:space="preserve">차모형 </t>
    </r>
    <r>
      <rPr>
        <i/>
        <sz val="9"/>
        <rFont val="Arial"/>
        <family val="2"/>
      </rPr>
      <t>· R²=0.970 · typ-II SS. (</t>
    </r>
    <r>
      <rPr>
        <i/>
        <sz val="9"/>
        <rFont val="Noto Sans CJK SC"/>
        <family val="2"/>
      </rPr>
      <t>고정 합성데이터의 분석 출력값</t>
    </r>
    <r>
      <rPr>
        <i/>
        <sz val="9"/>
        <rFont val="Arial"/>
        <family val="2"/>
      </rPr>
      <t>)</t>
    </r>
  </si>
  <si>
    <t>Source</t>
  </si>
  <si>
    <t>SS</t>
  </si>
  <si>
    <t>df</t>
  </si>
  <si>
    <t>F</t>
  </si>
  <si>
    <t>p-value</t>
  </si>
  <si>
    <r>
      <rPr>
        <b/>
        <sz val="11"/>
        <color rgb="FFFFFFFF"/>
        <rFont val="Noto Sans CJK SC"/>
        <family val="2"/>
      </rPr>
      <t>유의</t>
    </r>
    <r>
      <rPr>
        <b/>
        <sz val="11"/>
        <color rgb="FFFFFFFF"/>
        <rFont val="Arial"/>
        <family val="2"/>
      </rPr>
      <t>(95%)</t>
    </r>
  </si>
  <si>
    <t>○</t>
  </si>
  <si>
    <t>–</t>
  </si>
  <si>
    <t>Residual</t>
  </si>
  <si>
    <t>ANOVA — Sidewall Angle (°)</t>
  </si>
  <si>
    <r>
      <rPr>
        <i/>
        <sz val="9"/>
        <rFont val="Arial"/>
        <family val="2"/>
      </rPr>
      <t>OLS 2</t>
    </r>
    <r>
      <rPr>
        <i/>
        <sz val="9"/>
        <rFont val="Noto Sans CJK SC"/>
        <family val="2"/>
      </rPr>
      <t xml:space="preserve">차모형 </t>
    </r>
    <r>
      <rPr>
        <i/>
        <sz val="9"/>
        <rFont val="Arial"/>
        <family val="2"/>
      </rPr>
      <t>· R²=0.984 · typ-II SS. (</t>
    </r>
    <r>
      <rPr>
        <i/>
        <sz val="9"/>
        <rFont val="Noto Sans CJK SC"/>
        <family val="2"/>
      </rPr>
      <t>고정 합성데이터의 분석 출력값</t>
    </r>
    <r>
      <rPr>
        <i/>
        <sz val="9"/>
        <rFont val="Arial"/>
        <family val="2"/>
      </rPr>
      <t>)</t>
    </r>
  </si>
  <si>
    <r>
      <rPr>
        <b/>
        <sz val="13"/>
        <color rgb="FF1F4E78"/>
        <rFont val="Noto Sans CJK SC"/>
        <family val="2"/>
      </rPr>
      <t xml:space="preserve">개선 시나리오 예측 </t>
    </r>
    <r>
      <rPr>
        <b/>
        <sz val="13"/>
        <color rgb="FF1F4E78"/>
        <rFont val="Arial"/>
        <family val="2"/>
      </rPr>
      <t>(</t>
    </r>
    <r>
      <rPr>
        <b/>
        <sz val="13"/>
        <color rgb="FF1F4E78"/>
        <rFont val="Noto Sans CJK SC"/>
        <family val="2"/>
      </rPr>
      <t xml:space="preserve">회귀식 </t>
    </r>
    <r>
      <rPr>
        <b/>
        <sz val="13"/>
        <color rgb="FF1F4E78"/>
        <rFont val="Arial"/>
        <family val="2"/>
      </rPr>
      <t xml:space="preserve">· </t>
    </r>
    <r>
      <rPr>
        <b/>
        <sz val="13"/>
        <color rgb="FF1F4E78"/>
        <rFont val="Noto Sans CJK SC"/>
        <family val="2"/>
      </rPr>
      <t>코딩 입력</t>
    </r>
    <r>
      <rPr>
        <b/>
        <sz val="13"/>
        <color rgb="FF1F4E78"/>
        <rFont val="Arial"/>
        <family val="2"/>
      </rPr>
      <t>)</t>
    </r>
  </si>
  <si>
    <r>
      <rPr>
        <i/>
        <sz val="9"/>
        <rFont val="Arial"/>
        <family val="2"/>
      </rPr>
      <t>G/P/B</t>
    </r>
    <r>
      <rPr>
        <i/>
        <sz val="9"/>
        <rFont val="Noto Sans CJK SC"/>
        <family val="2"/>
      </rPr>
      <t>에 코딩값</t>
    </r>
    <r>
      <rPr>
        <i/>
        <sz val="9"/>
        <rFont val="Arial"/>
        <family val="2"/>
      </rPr>
      <t xml:space="preserve">(-1~+1) </t>
    </r>
    <r>
      <rPr>
        <i/>
        <sz val="9"/>
        <rFont val="Noto Sans CJK SC"/>
        <family val="2"/>
      </rPr>
      <t>입력 → 두 응답 예측</t>
    </r>
    <r>
      <rPr>
        <i/>
        <sz val="9"/>
        <rFont val="Arial"/>
        <family val="2"/>
      </rPr>
      <t xml:space="preserve">. </t>
    </r>
    <r>
      <rPr>
        <i/>
        <sz val="9"/>
        <rFont val="Noto Sans CJK SC"/>
        <family val="2"/>
      </rPr>
      <t xml:space="preserve">계수는 </t>
    </r>
    <r>
      <rPr>
        <i/>
        <sz val="9"/>
        <rFont val="Arial"/>
        <family val="2"/>
      </rPr>
      <t>Regression Tidy</t>
    </r>
    <r>
      <rPr>
        <i/>
        <sz val="9"/>
        <rFont val="Noto Sans CJK SC"/>
        <family val="2"/>
      </rPr>
      <t>표 참조</t>
    </r>
    <r>
      <rPr>
        <i/>
        <sz val="9"/>
        <rFont val="Arial"/>
        <family val="2"/>
      </rPr>
      <t>(</t>
    </r>
    <r>
      <rPr>
        <i/>
        <sz val="9"/>
        <rFont val="Noto Sans CJK SC"/>
        <family val="2"/>
      </rPr>
      <t>실시간</t>
    </r>
    <r>
      <rPr>
        <i/>
        <sz val="9"/>
        <rFont val="Arial"/>
        <family val="2"/>
      </rPr>
      <t>).</t>
    </r>
  </si>
  <si>
    <t>시나리오</t>
  </si>
  <si>
    <t>CHF₃%</t>
  </si>
  <si>
    <t>Press</t>
  </si>
  <si>
    <t>Bias</t>
  </si>
  <si>
    <r>
      <rPr>
        <b/>
        <sz val="11"/>
        <color rgb="FFFFFFFF"/>
        <rFont val="Noto Sans CJK SC"/>
        <family val="2"/>
      </rPr>
      <t xml:space="preserve">예측 </t>
    </r>
    <r>
      <rPr>
        <b/>
        <sz val="11"/>
        <color rgb="FFFFFFFF"/>
        <rFont val="Arial"/>
        <family val="2"/>
      </rPr>
      <t>Undercut</t>
    </r>
  </si>
  <si>
    <r>
      <rPr>
        <b/>
        <sz val="11"/>
        <color rgb="FFFFFFFF"/>
        <rFont val="Noto Sans CJK SC"/>
        <family val="2"/>
      </rPr>
      <t xml:space="preserve">예측 </t>
    </r>
    <r>
      <rPr>
        <b/>
        <sz val="11"/>
        <color rgb="FFFFFFFF"/>
        <rFont val="Arial"/>
        <family val="2"/>
      </rPr>
      <t>Angle</t>
    </r>
  </si>
  <si>
    <r>
      <rPr>
        <sz val="11"/>
        <rFont val="Noto Sans CJK SC"/>
        <family val="2"/>
      </rPr>
      <t xml:space="preserve">현공정 </t>
    </r>
    <r>
      <rPr>
        <sz val="11"/>
        <rFont val="Arial"/>
        <family val="2"/>
      </rPr>
      <t>(CF₄/100/50)</t>
    </r>
  </si>
  <si>
    <r>
      <rPr>
        <sz val="11"/>
        <rFont val="Noto Sans CJK SC"/>
        <family val="2"/>
      </rPr>
      <t xml:space="preserve">개선안 </t>
    </r>
    <r>
      <rPr>
        <sz val="11"/>
        <rFont val="Arial"/>
        <family val="2"/>
      </rPr>
      <t>A: Press↓</t>
    </r>
  </si>
  <si>
    <r>
      <rPr>
        <sz val="11"/>
        <rFont val="Noto Sans CJK SC"/>
        <family val="2"/>
      </rPr>
      <t xml:space="preserve">개선안 </t>
    </r>
    <r>
      <rPr>
        <sz val="11"/>
        <rFont val="Arial"/>
        <family val="2"/>
      </rPr>
      <t>B: Press↓+Bias↑</t>
    </r>
  </si>
  <si>
    <r>
      <rPr>
        <sz val="11"/>
        <rFont val="Noto Sans CJK SC"/>
        <family val="2"/>
      </rPr>
      <t>★ 최적점</t>
    </r>
    <r>
      <rPr>
        <sz val="11"/>
        <rFont val="Arial"/>
        <family val="2"/>
      </rPr>
      <t>: Pass↑+Press↓+Bias↑</t>
    </r>
  </si>
  <si>
    <t>G:0%→+1=40% · P:-1=50,0=100,+1=150 · B:-1=25,0=50,+1=75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</si>
</sst>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"/>
  </numFmts>
  <fonts count="13">
    <font>
      <sz val="11"/>
      <color theme="1"/>
      <name val="Calibri"/>
      <family val="2"/>
      <charset val="1"/>
    </font>
    <font>
      <b/>
      <sz val="13"/>
      <color rgb="FF1F4E78"/>
      <name val="Arial"/>
      <family val="2"/>
    </font>
    <font>
      <b/>
      <sz val="13"/>
      <color rgb="FF1F4E78"/>
      <name val="Noto Sans CJK SC"/>
      <family val="2"/>
    </font>
    <font>
      <sz val="11"/>
      <name val="Arial"/>
      <family val="2"/>
    </font>
    <font>
      <sz val="11"/>
      <name val="Noto Sans CJK SC"/>
      <family val="2"/>
    </font>
    <font>
      <b/>
      <sz val="11"/>
      <name val="Arial"/>
      <family val="2"/>
    </font>
    <font>
      <b/>
      <sz val="11"/>
      <name val="Noto Sans CJK SC"/>
      <family val="2"/>
    </font>
    <font>
      <b/>
      <sz val="11"/>
      <color rgb="FFFFFFFF"/>
      <name val="Arial"/>
      <family val="2"/>
    </font>
    <font>
      <sz val="11"/>
      <color rgb="FF0000FF"/>
      <name val="Arial"/>
      <family val="2"/>
    </font>
    <font>
      <i/>
      <sz val="9"/>
      <name val="Noto Sans CJK SC"/>
      <family val="2"/>
    </font>
    <font>
      <i/>
      <sz val="9"/>
      <name val="Arial"/>
      <family val="2"/>
    </font>
    <font>
      <b/>
      <sz val="11"/>
      <color rgb="FFFFFFFF"/>
      <name val="Noto Sans CJK SC"/>
      <family val="2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6EADF"/>
        <bgColor rgb="FFCCFFFF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C8D2D5"/>
      </left>
      <right style="thin">
        <color rgb="FFC8D2D5"/>
      </right>
      <top style="thin">
        <color rgb="FFC8D2D5"/>
      </top>
      <bottom style="thin">
        <color rgb="FFC8D2D5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0" xfId="0" applyFont="1"/>
    <xf numFmtId="0" fontId="2" fillId="0" borderId="0" xfId="0" applyFont="1"/>
    <xf numFmtId="0" fontId="6" fillId="0" borderId="0" xfId="0" applyFont="1"/>
    <xf numFmtId="0" fontId="0" fillId="0" borderId="0" xfId="0"/>
    <xf numFmtId="176" fontId="0" fillId="0" borderId="0" xfId="0" applyNumberFormat="1"/>
    <xf numFmtId="0" fontId="6" fillId="0" borderId="1" xfId="0" applyFont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176" fontId="0" fillId="0" borderId="1" xfId="0" applyNumberFormat="1" applyBorder="1"/>
    <xf numFmtId="0" fontId="10" fillId="0" borderId="0" xfId="0" applyFont="1"/>
    <xf numFmtId="0" fontId="11" fillId="2" borderId="1" xfId="0" applyFont="1" applyFill="1" applyBorder="1" applyAlignment="1">
      <alignment horizontal="center"/>
    </xf>
    <xf numFmtId="0" fontId="5" fillId="3" borderId="1" xfId="0" applyFont="1" applyFill="1" applyBorder="1"/>
    <xf numFmtId="0" fontId="0" fillId="3" borderId="1" xfId="0" applyFill="1" applyBorder="1" applyAlignment="1">
      <alignment horizontal="center"/>
    </xf>
    <xf numFmtId="0" fontId="3" fillId="3" borderId="1" xfId="0" applyFont="1" applyFill="1" applyBorder="1"/>
    <xf numFmtId="0" fontId="3" fillId="0" borderId="1" xfId="0" applyFont="1" applyBorder="1"/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left"/>
    </xf>
    <xf numFmtId="177" fontId="0" fillId="0" borderId="1" xfId="0" applyNumberFormat="1" applyBorder="1" applyAlignment="1">
      <alignment horizontal="center"/>
    </xf>
    <xf numFmtId="0" fontId="4" fillId="4" borderId="1" xfId="0" applyFont="1" applyFill="1" applyBorder="1" applyAlignment="1">
      <alignment horizontal="left"/>
    </xf>
    <xf numFmtId="0" fontId="8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77" fontId="0" fillId="4" borderId="1" xfId="0" applyNumberForma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8D2D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EADF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8"/>
  <sheetViews>
    <sheetView zoomScaleNormal="100" workbookViewId="0"/>
  </sheetViews>
  <sheetFormatPr defaultColWidth="8.7109375" defaultRowHeight="15"/>
  <cols>
    <col min="1" max="1" width="112" customWidth="1"/>
  </cols>
  <sheetData>
    <row r="1" spans="1:1" ht="16.5">
      <c r="A1" s="1" t="s">
        <v>0</v>
      </c>
    </row>
    <row r="2" spans="1:1">
      <c r="A2" s="2"/>
    </row>
    <row r="3" spans="1:1">
      <c r="A3" s="2" t="s">
        <v>1</v>
      </c>
    </row>
    <row r="4" spans="1:1">
      <c r="A4" s="3" t="s">
        <v>2</v>
      </c>
    </row>
    <row r="5" spans="1:1">
      <c r="A5" s="2"/>
    </row>
    <row r="6" spans="1:1">
      <c r="A6" s="2" t="s">
        <v>3</v>
      </c>
    </row>
    <row r="7" spans="1:1">
      <c r="A7" s="3" t="s">
        <v>4</v>
      </c>
    </row>
    <row r="8" spans="1:1">
      <c r="A8" s="2"/>
    </row>
    <row r="9" spans="1:1">
      <c r="A9" s="4" t="s">
        <v>5</v>
      </c>
    </row>
    <row r="10" spans="1:1">
      <c r="A10" s="2" t="s">
        <v>6</v>
      </c>
    </row>
    <row r="11" spans="1:1">
      <c r="A11" s="2" t="s">
        <v>7</v>
      </c>
    </row>
    <row r="12" spans="1:1">
      <c r="A12" s="2" t="s">
        <v>8</v>
      </c>
    </row>
    <row r="13" spans="1:1">
      <c r="A13" s="3" t="s">
        <v>9</v>
      </c>
    </row>
    <row r="14" spans="1:1">
      <c r="A14" s="2"/>
    </row>
    <row r="15" spans="1:1">
      <c r="A15" s="4" t="s">
        <v>10</v>
      </c>
    </row>
    <row r="16" spans="1:1">
      <c r="A16" s="2" t="s">
        <v>11</v>
      </c>
    </row>
    <row r="17" spans="1:1">
      <c r="A17" s="2"/>
    </row>
    <row r="18" spans="1:1">
      <c r="A18" s="4" t="s">
        <v>12</v>
      </c>
    </row>
    <row r="19" spans="1:1">
      <c r="A19" s="2" t="s">
        <v>13</v>
      </c>
    </row>
    <row r="20" spans="1:1">
      <c r="A20" s="2" t="s">
        <v>14</v>
      </c>
    </row>
    <row r="21" spans="1:1">
      <c r="A21" s="2" t="s">
        <v>15</v>
      </c>
    </row>
    <row r="22" spans="1:1">
      <c r="A22" s="2" t="s">
        <v>16</v>
      </c>
    </row>
    <row r="23" spans="1:1">
      <c r="A23" s="2"/>
    </row>
    <row r="24" spans="1:1">
      <c r="A24" s="2" t="s">
        <v>17</v>
      </c>
    </row>
    <row r="25" spans="1:1">
      <c r="A25" s="2" t="s">
        <v>18</v>
      </c>
    </row>
    <row r="26" spans="1:1">
      <c r="A26" s="2"/>
    </row>
    <row r="27" spans="1:1">
      <c r="A27" s="2" t="s">
        <v>19</v>
      </c>
    </row>
    <row r="28" spans="1:1">
      <c r="A28" s="2" t="s">
        <v>20</v>
      </c>
    </row>
  </sheetData>
  <phoneticPr fontId="1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7"/>
  <sheetViews>
    <sheetView zoomScaleNormal="100" workbookViewId="0"/>
  </sheetViews>
  <sheetFormatPr defaultColWidth="8.7109375" defaultRowHeight="15"/>
  <cols>
    <col min="1" max="1" width="6" customWidth="1"/>
    <col min="2" max="2" width="8" customWidth="1"/>
    <col min="3" max="3" width="12" customWidth="1"/>
    <col min="4" max="4" width="7" customWidth="1"/>
    <col min="5" max="5" width="5" customWidth="1"/>
    <col min="6" max="14" width="6" customWidth="1"/>
    <col min="15" max="15" width="13" customWidth="1"/>
    <col min="16" max="16" width="11" customWidth="1"/>
  </cols>
  <sheetData>
    <row r="1" spans="1:16">
      <c r="A1" s="5" t="s">
        <v>21</v>
      </c>
      <c r="B1" s="5" t="s">
        <v>22</v>
      </c>
      <c r="C1" s="5" t="s">
        <v>23</v>
      </c>
      <c r="D1" s="5" t="s">
        <v>24</v>
      </c>
      <c r="E1" s="5" t="s">
        <v>25</v>
      </c>
      <c r="F1" s="5" t="s">
        <v>26</v>
      </c>
      <c r="G1" s="5" t="s">
        <v>27</v>
      </c>
      <c r="H1" s="5" t="s">
        <v>28</v>
      </c>
      <c r="I1" s="5" t="s">
        <v>29</v>
      </c>
      <c r="J1" s="5" t="s">
        <v>30</v>
      </c>
      <c r="K1" s="5" t="s">
        <v>31</v>
      </c>
      <c r="L1" s="5" t="s">
        <v>32</v>
      </c>
      <c r="M1" s="5" t="s">
        <v>33</v>
      </c>
      <c r="N1" s="5" t="s">
        <v>34</v>
      </c>
      <c r="O1" s="5" t="s">
        <v>35</v>
      </c>
      <c r="P1" s="5" t="s">
        <v>36</v>
      </c>
    </row>
    <row r="2" spans="1:16">
      <c r="A2" s="6">
        <v>1</v>
      </c>
      <c r="B2" s="6">
        <v>0</v>
      </c>
      <c r="C2" s="6">
        <v>50</v>
      </c>
      <c r="D2" s="6">
        <v>25</v>
      </c>
      <c r="E2" s="6">
        <v>1</v>
      </c>
      <c r="F2" s="6">
        <f t="shared" ref="F2:F33" si="0">(B2-20)/20</f>
        <v>-1</v>
      </c>
      <c r="G2" s="6">
        <f t="shared" ref="G2:G33" si="1">(C2-100)/50</f>
        <v>-1</v>
      </c>
      <c r="H2" s="6">
        <f t="shared" ref="H2:H33" si="2">(D2-50)/25</f>
        <v>-1</v>
      </c>
      <c r="I2" s="7">
        <f t="shared" ref="I2:I33" si="3">F2^2</f>
        <v>1</v>
      </c>
      <c r="J2" s="7">
        <f t="shared" ref="J2:J33" si="4">G2^2</f>
        <v>1</v>
      </c>
      <c r="K2" s="7">
        <f t="shared" ref="K2:K33" si="5">H2^2</f>
        <v>1</v>
      </c>
      <c r="L2" s="7">
        <f t="shared" ref="L2:L33" si="6">F2*G2</f>
        <v>1</v>
      </c>
      <c r="M2" s="7">
        <f t="shared" ref="M2:M33" si="7">F2*H2</f>
        <v>1</v>
      </c>
      <c r="N2" s="7">
        <f t="shared" ref="N2:N33" si="8">G2*H2</f>
        <v>1</v>
      </c>
      <c r="O2" s="8">
        <v>25.3</v>
      </c>
      <c r="P2" s="8">
        <v>80.87</v>
      </c>
    </row>
    <row r="3" spans="1:16">
      <c r="A3" s="6">
        <v>2</v>
      </c>
      <c r="B3" s="6">
        <v>0</v>
      </c>
      <c r="C3" s="6">
        <v>50</v>
      </c>
      <c r="D3" s="6">
        <v>25</v>
      </c>
      <c r="E3" s="6">
        <v>2</v>
      </c>
      <c r="F3" s="6">
        <f t="shared" si="0"/>
        <v>-1</v>
      </c>
      <c r="G3" s="6">
        <f t="shared" si="1"/>
        <v>-1</v>
      </c>
      <c r="H3" s="6">
        <f t="shared" si="2"/>
        <v>-1</v>
      </c>
      <c r="I3" s="7">
        <f t="shared" si="3"/>
        <v>1</v>
      </c>
      <c r="J3" s="7">
        <f t="shared" si="4"/>
        <v>1</v>
      </c>
      <c r="K3" s="7">
        <f t="shared" si="5"/>
        <v>1</v>
      </c>
      <c r="L3" s="7">
        <f t="shared" si="6"/>
        <v>1</v>
      </c>
      <c r="M3" s="7">
        <f t="shared" si="7"/>
        <v>1</v>
      </c>
      <c r="N3" s="7">
        <f t="shared" si="8"/>
        <v>1</v>
      </c>
      <c r="O3" s="8">
        <v>23.14</v>
      </c>
      <c r="P3" s="8">
        <v>81.3</v>
      </c>
    </row>
    <row r="4" spans="1:16">
      <c r="A4" s="6">
        <v>3</v>
      </c>
      <c r="B4" s="6">
        <v>0</v>
      </c>
      <c r="C4" s="6">
        <v>50</v>
      </c>
      <c r="D4" s="6">
        <v>50</v>
      </c>
      <c r="E4" s="6">
        <v>1</v>
      </c>
      <c r="F4" s="6">
        <f t="shared" si="0"/>
        <v>-1</v>
      </c>
      <c r="G4" s="6">
        <f t="shared" si="1"/>
        <v>-1</v>
      </c>
      <c r="H4" s="6">
        <f t="shared" si="2"/>
        <v>0</v>
      </c>
      <c r="I4" s="7">
        <f t="shared" si="3"/>
        <v>1</v>
      </c>
      <c r="J4" s="7">
        <f t="shared" si="4"/>
        <v>1</v>
      </c>
      <c r="K4" s="7">
        <f t="shared" si="5"/>
        <v>0</v>
      </c>
      <c r="L4" s="7">
        <f t="shared" si="6"/>
        <v>1</v>
      </c>
      <c r="M4" s="7">
        <f t="shared" si="7"/>
        <v>0</v>
      </c>
      <c r="N4" s="7">
        <f t="shared" si="8"/>
        <v>0</v>
      </c>
      <c r="O4" s="8">
        <v>24.27</v>
      </c>
      <c r="P4" s="8">
        <v>84.3</v>
      </c>
    </row>
    <row r="5" spans="1:16">
      <c r="A5" s="6">
        <v>4</v>
      </c>
      <c r="B5" s="6">
        <v>0</v>
      </c>
      <c r="C5" s="6">
        <v>50</v>
      </c>
      <c r="D5" s="6">
        <v>50</v>
      </c>
      <c r="E5" s="6">
        <v>2</v>
      </c>
      <c r="F5" s="6">
        <f t="shared" si="0"/>
        <v>-1</v>
      </c>
      <c r="G5" s="6">
        <f t="shared" si="1"/>
        <v>-1</v>
      </c>
      <c r="H5" s="6">
        <f t="shared" si="2"/>
        <v>0</v>
      </c>
      <c r="I5" s="7">
        <f t="shared" si="3"/>
        <v>1</v>
      </c>
      <c r="J5" s="7">
        <f t="shared" si="4"/>
        <v>1</v>
      </c>
      <c r="K5" s="7">
        <f t="shared" si="5"/>
        <v>0</v>
      </c>
      <c r="L5" s="7">
        <f t="shared" si="6"/>
        <v>1</v>
      </c>
      <c r="M5" s="7">
        <f t="shared" si="7"/>
        <v>0</v>
      </c>
      <c r="N5" s="7">
        <f t="shared" si="8"/>
        <v>0</v>
      </c>
      <c r="O5" s="8">
        <v>25.3</v>
      </c>
      <c r="P5" s="8">
        <v>83.42</v>
      </c>
    </row>
    <row r="6" spans="1:16">
      <c r="A6" s="6">
        <v>5</v>
      </c>
      <c r="B6" s="6">
        <v>0</v>
      </c>
      <c r="C6" s="6">
        <v>50</v>
      </c>
      <c r="D6" s="6">
        <v>75</v>
      </c>
      <c r="E6" s="6">
        <v>1</v>
      </c>
      <c r="F6" s="6">
        <f t="shared" si="0"/>
        <v>-1</v>
      </c>
      <c r="G6" s="6">
        <f t="shared" si="1"/>
        <v>-1</v>
      </c>
      <c r="H6" s="6">
        <f t="shared" si="2"/>
        <v>1</v>
      </c>
      <c r="I6" s="7">
        <f t="shared" si="3"/>
        <v>1</v>
      </c>
      <c r="J6" s="7">
        <f t="shared" si="4"/>
        <v>1</v>
      </c>
      <c r="K6" s="7">
        <f t="shared" si="5"/>
        <v>1</v>
      </c>
      <c r="L6" s="7">
        <f t="shared" si="6"/>
        <v>1</v>
      </c>
      <c r="M6" s="7">
        <f t="shared" si="7"/>
        <v>-1</v>
      </c>
      <c r="N6" s="7">
        <f t="shared" si="8"/>
        <v>-1</v>
      </c>
      <c r="O6" s="8">
        <v>29.42</v>
      </c>
      <c r="P6" s="8">
        <v>86</v>
      </c>
    </row>
    <row r="7" spans="1:16">
      <c r="A7" s="6">
        <v>6</v>
      </c>
      <c r="B7" s="6">
        <v>0</v>
      </c>
      <c r="C7" s="6">
        <v>50</v>
      </c>
      <c r="D7" s="6">
        <v>75</v>
      </c>
      <c r="E7" s="6">
        <v>2</v>
      </c>
      <c r="F7" s="6">
        <f t="shared" si="0"/>
        <v>-1</v>
      </c>
      <c r="G7" s="6">
        <f t="shared" si="1"/>
        <v>-1</v>
      </c>
      <c r="H7" s="6">
        <f t="shared" si="2"/>
        <v>1</v>
      </c>
      <c r="I7" s="7">
        <f t="shared" si="3"/>
        <v>1</v>
      </c>
      <c r="J7" s="7">
        <f t="shared" si="4"/>
        <v>1</v>
      </c>
      <c r="K7" s="7">
        <f t="shared" si="5"/>
        <v>1</v>
      </c>
      <c r="L7" s="7">
        <f t="shared" si="6"/>
        <v>1</v>
      </c>
      <c r="M7" s="7">
        <f t="shared" si="7"/>
        <v>-1</v>
      </c>
      <c r="N7" s="7">
        <f t="shared" si="8"/>
        <v>-1</v>
      </c>
      <c r="O7" s="8">
        <v>27.29</v>
      </c>
      <c r="P7" s="8">
        <v>85.61</v>
      </c>
    </row>
    <row r="8" spans="1:16">
      <c r="A8" s="6">
        <v>7</v>
      </c>
      <c r="B8" s="6">
        <v>0</v>
      </c>
      <c r="C8" s="6">
        <v>100</v>
      </c>
      <c r="D8" s="6">
        <v>25</v>
      </c>
      <c r="E8" s="6">
        <v>1</v>
      </c>
      <c r="F8" s="6">
        <f t="shared" si="0"/>
        <v>-1</v>
      </c>
      <c r="G8" s="6">
        <f t="shared" si="1"/>
        <v>0</v>
      </c>
      <c r="H8" s="6">
        <f t="shared" si="2"/>
        <v>-1</v>
      </c>
      <c r="I8" s="7">
        <f t="shared" si="3"/>
        <v>1</v>
      </c>
      <c r="J8" s="7">
        <f t="shared" si="4"/>
        <v>0</v>
      </c>
      <c r="K8" s="7">
        <f t="shared" si="5"/>
        <v>1</v>
      </c>
      <c r="L8" s="7">
        <f t="shared" si="6"/>
        <v>0</v>
      </c>
      <c r="M8" s="7">
        <f t="shared" si="7"/>
        <v>1</v>
      </c>
      <c r="N8" s="7">
        <f t="shared" si="8"/>
        <v>0</v>
      </c>
      <c r="O8" s="8">
        <v>26.46</v>
      </c>
      <c r="P8" s="8">
        <v>79.87</v>
      </c>
    </row>
    <row r="9" spans="1:16">
      <c r="A9" s="6">
        <v>8</v>
      </c>
      <c r="B9" s="6">
        <v>0</v>
      </c>
      <c r="C9" s="6">
        <v>100</v>
      </c>
      <c r="D9" s="6">
        <v>25</v>
      </c>
      <c r="E9" s="6">
        <v>2</v>
      </c>
      <c r="F9" s="6">
        <f t="shared" si="0"/>
        <v>-1</v>
      </c>
      <c r="G9" s="6">
        <f t="shared" si="1"/>
        <v>0</v>
      </c>
      <c r="H9" s="6">
        <f t="shared" si="2"/>
        <v>-1</v>
      </c>
      <c r="I9" s="7">
        <f t="shared" si="3"/>
        <v>1</v>
      </c>
      <c r="J9" s="7">
        <f t="shared" si="4"/>
        <v>0</v>
      </c>
      <c r="K9" s="7">
        <f t="shared" si="5"/>
        <v>1</v>
      </c>
      <c r="L9" s="7">
        <f t="shared" si="6"/>
        <v>0</v>
      </c>
      <c r="M9" s="7">
        <f t="shared" si="7"/>
        <v>1</v>
      </c>
      <c r="N9" s="7">
        <f t="shared" si="8"/>
        <v>0</v>
      </c>
      <c r="O9" s="8">
        <v>25.48</v>
      </c>
      <c r="P9" s="8">
        <v>79.27</v>
      </c>
    </row>
    <row r="10" spans="1:16">
      <c r="A10" s="6">
        <v>9</v>
      </c>
      <c r="B10" s="6">
        <v>0</v>
      </c>
      <c r="C10" s="6">
        <v>100</v>
      </c>
      <c r="D10" s="6">
        <v>50</v>
      </c>
      <c r="E10" s="6">
        <v>1</v>
      </c>
      <c r="F10" s="6">
        <f t="shared" si="0"/>
        <v>-1</v>
      </c>
      <c r="G10" s="6">
        <f t="shared" si="1"/>
        <v>0</v>
      </c>
      <c r="H10" s="6">
        <f t="shared" si="2"/>
        <v>0</v>
      </c>
      <c r="I10" s="7">
        <f t="shared" si="3"/>
        <v>1</v>
      </c>
      <c r="J10" s="7">
        <f t="shared" si="4"/>
        <v>0</v>
      </c>
      <c r="K10" s="7">
        <f t="shared" si="5"/>
        <v>0</v>
      </c>
      <c r="L10" s="7">
        <f t="shared" si="6"/>
        <v>0</v>
      </c>
      <c r="M10" s="7">
        <f t="shared" si="7"/>
        <v>0</v>
      </c>
      <c r="N10" s="7">
        <f t="shared" si="8"/>
        <v>0</v>
      </c>
      <c r="O10" s="8">
        <v>29.22</v>
      </c>
      <c r="P10" s="8">
        <v>82.46</v>
      </c>
    </row>
    <row r="11" spans="1:16">
      <c r="A11" s="6">
        <v>10</v>
      </c>
      <c r="B11" s="6">
        <v>0</v>
      </c>
      <c r="C11" s="6">
        <v>100</v>
      </c>
      <c r="D11" s="6">
        <v>50</v>
      </c>
      <c r="E11" s="6">
        <v>2</v>
      </c>
      <c r="F11" s="6">
        <f t="shared" si="0"/>
        <v>-1</v>
      </c>
      <c r="G11" s="6">
        <f t="shared" si="1"/>
        <v>0</v>
      </c>
      <c r="H11" s="6">
        <f t="shared" si="2"/>
        <v>0</v>
      </c>
      <c r="I11" s="7">
        <f t="shared" si="3"/>
        <v>1</v>
      </c>
      <c r="J11" s="7">
        <f t="shared" si="4"/>
        <v>0</v>
      </c>
      <c r="K11" s="7">
        <f t="shared" si="5"/>
        <v>0</v>
      </c>
      <c r="L11" s="7">
        <f t="shared" si="6"/>
        <v>0</v>
      </c>
      <c r="M11" s="7">
        <f t="shared" si="7"/>
        <v>0</v>
      </c>
      <c r="N11" s="7">
        <f t="shared" si="8"/>
        <v>0</v>
      </c>
      <c r="O11" s="8">
        <v>28.86</v>
      </c>
      <c r="P11" s="8">
        <v>81.64</v>
      </c>
    </row>
    <row r="12" spans="1:16">
      <c r="A12" s="6">
        <v>11</v>
      </c>
      <c r="B12" s="6">
        <v>0</v>
      </c>
      <c r="C12" s="6">
        <v>100</v>
      </c>
      <c r="D12" s="6">
        <v>75</v>
      </c>
      <c r="E12" s="6">
        <v>1</v>
      </c>
      <c r="F12" s="6">
        <f t="shared" si="0"/>
        <v>-1</v>
      </c>
      <c r="G12" s="6">
        <f t="shared" si="1"/>
        <v>0</v>
      </c>
      <c r="H12" s="6">
        <f t="shared" si="2"/>
        <v>1</v>
      </c>
      <c r="I12" s="7">
        <f t="shared" si="3"/>
        <v>1</v>
      </c>
      <c r="J12" s="7">
        <f t="shared" si="4"/>
        <v>0</v>
      </c>
      <c r="K12" s="7">
        <f t="shared" si="5"/>
        <v>1</v>
      </c>
      <c r="L12" s="7">
        <f t="shared" si="6"/>
        <v>0</v>
      </c>
      <c r="M12" s="7">
        <f t="shared" si="7"/>
        <v>-1</v>
      </c>
      <c r="N12" s="7">
        <f t="shared" si="8"/>
        <v>0</v>
      </c>
      <c r="O12" s="8">
        <v>33.950000000000003</v>
      </c>
      <c r="P12" s="8">
        <v>83.08</v>
      </c>
    </row>
    <row r="13" spans="1:16">
      <c r="A13" s="6">
        <v>12</v>
      </c>
      <c r="B13" s="6">
        <v>0</v>
      </c>
      <c r="C13" s="6">
        <v>100</v>
      </c>
      <c r="D13" s="6">
        <v>75</v>
      </c>
      <c r="E13" s="6">
        <v>2</v>
      </c>
      <c r="F13" s="6">
        <f t="shared" si="0"/>
        <v>-1</v>
      </c>
      <c r="G13" s="6">
        <f t="shared" si="1"/>
        <v>0</v>
      </c>
      <c r="H13" s="6">
        <f t="shared" si="2"/>
        <v>1</v>
      </c>
      <c r="I13" s="7">
        <f t="shared" si="3"/>
        <v>1</v>
      </c>
      <c r="J13" s="7">
        <f t="shared" si="4"/>
        <v>0</v>
      </c>
      <c r="K13" s="7">
        <f t="shared" si="5"/>
        <v>1</v>
      </c>
      <c r="L13" s="7">
        <f t="shared" si="6"/>
        <v>0</v>
      </c>
      <c r="M13" s="7">
        <f t="shared" si="7"/>
        <v>-1</v>
      </c>
      <c r="N13" s="7">
        <f t="shared" si="8"/>
        <v>0</v>
      </c>
      <c r="O13" s="8">
        <v>31.3</v>
      </c>
      <c r="P13" s="8">
        <v>84.01</v>
      </c>
    </row>
    <row r="14" spans="1:16">
      <c r="A14" s="6">
        <v>13</v>
      </c>
      <c r="B14" s="6">
        <v>0</v>
      </c>
      <c r="C14" s="6">
        <v>150</v>
      </c>
      <c r="D14" s="6">
        <v>25</v>
      </c>
      <c r="E14" s="6">
        <v>1</v>
      </c>
      <c r="F14" s="6">
        <f t="shared" si="0"/>
        <v>-1</v>
      </c>
      <c r="G14" s="6">
        <f t="shared" si="1"/>
        <v>1</v>
      </c>
      <c r="H14" s="6">
        <f t="shared" si="2"/>
        <v>-1</v>
      </c>
      <c r="I14" s="7">
        <f t="shared" si="3"/>
        <v>1</v>
      </c>
      <c r="J14" s="7">
        <f t="shared" si="4"/>
        <v>1</v>
      </c>
      <c r="K14" s="7">
        <f t="shared" si="5"/>
        <v>1</v>
      </c>
      <c r="L14" s="7">
        <f t="shared" si="6"/>
        <v>-1</v>
      </c>
      <c r="M14" s="7">
        <f t="shared" si="7"/>
        <v>1</v>
      </c>
      <c r="N14" s="7">
        <f t="shared" si="8"/>
        <v>-1</v>
      </c>
      <c r="O14" s="8">
        <v>30.04</v>
      </c>
      <c r="P14" s="8">
        <v>76.97</v>
      </c>
    </row>
    <row r="15" spans="1:16">
      <c r="A15" s="6">
        <v>14</v>
      </c>
      <c r="B15" s="6">
        <v>0</v>
      </c>
      <c r="C15" s="6">
        <v>150</v>
      </c>
      <c r="D15" s="6">
        <v>25</v>
      </c>
      <c r="E15" s="6">
        <v>2</v>
      </c>
      <c r="F15" s="6">
        <f t="shared" si="0"/>
        <v>-1</v>
      </c>
      <c r="G15" s="6">
        <f t="shared" si="1"/>
        <v>1</v>
      </c>
      <c r="H15" s="6">
        <f t="shared" si="2"/>
        <v>-1</v>
      </c>
      <c r="I15" s="7">
        <f t="shared" si="3"/>
        <v>1</v>
      </c>
      <c r="J15" s="7">
        <f t="shared" si="4"/>
        <v>1</v>
      </c>
      <c r="K15" s="7">
        <f t="shared" si="5"/>
        <v>1</v>
      </c>
      <c r="L15" s="7">
        <f t="shared" si="6"/>
        <v>-1</v>
      </c>
      <c r="M15" s="7">
        <f t="shared" si="7"/>
        <v>1</v>
      </c>
      <c r="N15" s="7">
        <f t="shared" si="8"/>
        <v>-1</v>
      </c>
      <c r="O15" s="8">
        <v>29.57</v>
      </c>
      <c r="P15" s="8">
        <v>76.56</v>
      </c>
    </row>
    <row r="16" spans="1:16">
      <c r="A16" s="6">
        <v>15</v>
      </c>
      <c r="B16" s="6">
        <v>0</v>
      </c>
      <c r="C16" s="6">
        <v>150</v>
      </c>
      <c r="D16" s="6">
        <v>50</v>
      </c>
      <c r="E16" s="6">
        <v>1</v>
      </c>
      <c r="F16" s="6">
        <f t="shared" si="0"/>
        <v>-1</v>
      </c>
      <c r="G16" s="6">
        <f t="shared" si="1"/>
        <v>1</v>
      </c>
      <c r="H16" s="6">
        <f t="shared" si="2"/>
        <v>0</v>
      </c>
      <c r="I16" s="7">
        <f t="shared" si="3"/>
        <v>1</v>
      </c>
      <c r="J16" s="7">
        <f t="shared" si="4"/>
        <v>1</v>
      </c>
      <c r="K16" s="7">
        <f t="shared" si="5"/>
        <v>0</v>
      </c>
      <c r="L16" s="7">
        <f t="shared" si="6"/>
        <v>-1</v>
      </c>
      <c r="M16" s="7">
        <f t="shared" si="7"/>
        <v>0</v>
      </c>
      <c r="N16" s="7">
        <f t="shared" si="8"/>
        <v>0</v>
      </c>
      <c r="O16" s="8">
        <v>34.659999999999997</v>
      </c>
      <c r="P16" s="8">
        <v>79.09</v>
      </c>
    </row>
    <row r="17" spans="1:16">
      <c r="A17" s="6">
        <v>16</v>
      </c>
      <c r="B17" s="6">
        <v>0</v>
      </c>
      <c r="C17" s="6">
        <v>150</v>
      </c>
      <c r="D17" s="6">
        <v>50</v>
      </c>
      <c r="E17" s="6">
        <v>2</v>
      </c>
      <c r="F17" s="6">
        <f t="shared" si="0"/>
        <v>-1</v>
      </c>
      <c r="G17" s="6">
        <f t="shared" si="1"/>
        <v>1</v>
      </c>
      <c r="H17" s="6">
        <f t="shared" si="2"/>
        <v>0</v>
      </c>
      <c r="I17" s="7">
        <f t="shared" si="3"/>
        <v>1</v>
      </c>
      <c r="J17" s="7">
        <f t="shared" si="4"/>
        <v>1</v>
      </c>
      <c r="K17" s="7">
        <f t="shared" si="5"/>
        <v>0</v>
      </c>
      <c r="L17" s="7">
        <f t="shared" si="6"/>
        <v>-1</v>
      </c>
      <c r="M17" s="7">
        <f t="shared" si="7"/>
        <v>0</v>
      </c>
      <c r="N17" s="7">
        <f t="shared" si="8"/>
        <v>0</v>
      </c>
      <c r="O17" s="8">
        <v>32.33</v>
      </c>
      <c r="P17" s="8">
        <v>79.84</v>
      </c>
    </row>
    <row r="18" spans="1:16">
      <c r="A18" s="6">
        <v>17</v>
      </c>
      <c r="B18" s="6">
        <v>0</v>
      </c>
      <c r="C18" s="6">
        <v>150</v>
      </c>
      <c r="D18" s="6">
        <v>75</v>
      </c>
      <c r="E18" s="6">
        <v>1</v>
      </c>
      <c r="F18" s="6">
        <f t="shared" si="0"/>
        <v>-1</v>
      </c>
      <c r="G18" s="6">
        <f t="shared" si="1"/>
        <v>1</v>
      </c>
      <c r="H18" s="6">
        <f t="shared" si="2"/>
        <v>1</v>
      </c>
      <c r="I18" s="7">
        <f t="shared" si="3"/>
        <v>1</v>
      </c>
      <c r="J18" s="7">
        <f t="shared" si="4"/>
        <v>1</v>
      </c>
      <c r="K18" s="7">
        <f t="shared" si="5"/>
        <v>1</v>
      </c>
      <c r="L18" s="7">
        <f t="shared" si="6"/>
        <v>-1</v>
      </c>
      <c r="M18" s="7">
        <f t="shared" si="7"/>
        <v>-1</v>
      </c>
      <c r="N18" s="7">
        <f t="shared" si="8"/>
        <v>1</v>
      </c>
      <c r="O18" s="8">
        <v>34.950000000000003</v>
      </c>
      <c r="P18" s="8">
        <v>79.37</v>
      </c>
    </row>
    <row r="19" spans="1:16">
      <c r="A19" s="6">
        <v>18</v>
      </c>
      <c r="B19" s="6">
        <v>0</v>
      </c>
      <c r="C19" s="6">
        <v>150</v>
      </c>
      <c r="D19" s="6">
        <v>75</v>
      </c>
      <c r="E19" s="6">
        <v>2</v>
      </c>
      <c r="F19" s="6">
        <f t="shared" si="0"/>
        <v>-1</v>
      </c>
      <c r="G19" s="6">
        <f t="shared" si="1"/>
        <v>1</v>
      </c>
      <c r="H19" s="6">
        <f t="shared" si="2"/>
        <v>1</v>
      </c>
      <c r="I19" s="7">
        <f t="shared" si="3"/>
        <v>1</v>
      </c>
      <c r="J19" s="7">
        <f t="shared" si="4"/>
        <v>1</v>
      </c>
      <c r="K19" s="7">
        <f t="shared" si="5"/>
        <v>1</v>
      </c>
      <c r="L19" s="7">
        <f t="shared" si="6"/>
        <v>-1</v>
      </c>
      <c r="M19" s="7">
        <f t="shared" si="7"/>
        <v>-1</v>
      </c>
      <c r="N19" s="7">
        <f t="shared" si="8"/>
        <v>1</v>
      </c>
      <c r="O19" s="8">
        <v>34.42</v>
      </c>
      <c r="P19" s="8">
        <v>78.77</v>
      </c>
    </row>
    <row r="20" spans="1:16">
      <c r="A20" s="6">
        <v>19</v>
      </c>
      <c r="B20" s="6">
        <v>20</v>
      </c>
      <c r="C20" s="6">
        <v>50</v>
      </c>
      <c r="D20" s="6">
        <v>25</v>
      </c>
      <c r="E20" s="6">
        <v>1</v>
      </c>
      <c r="F20" s="6">
        <f t="shared" si="0"/>
        <v>0</v>
      </c>
      <c r="G20" s="6">
        <f t="shared" si="1"/>
        <v>-1</v>
      </c>
      <c r="H20" s="6">
        <f t="shared" si="2"/>
        <v>-1</v>
      </c>
      <c r="I20" s="7">
        <f t="shared" si="3"/>
        <v>0</v>
      </c>
      <c r="J20" s="7">
        <f t="shared" si="4"/>
        <v>1</v>
      </c>
      <c r="K20" s="7">
        <f t="shared" si="5"/>
        <v>1</v>
      </c>
      <c r="L20" s="7">
        <f t="shared" si="6"/>
        <v>0</v>
      </c>
      <c r="M20" s="7">
        <f t="shared" si="7"/>
        <v>0</v>
      </c>
      <c r="N20" s="7">
        <f t="shared" si="8"/>
        <v>1</v>
      </c>
      <c r="O20" s="8">
        <v>14.03</v>
      </c>
      <c r="P20" s="8">
        <v>79.430000000000007</v>
      </c>
    </row>
    <row r="21" spans="1:16">
      <c r="A21" s="6">
        <v>20</v>
      </c>
      <c r="B21" s="6">
        <v>20</v>
      </c>
      <c r="C21" s="6">
        <v>50</v>
      </c>
      <c r="D21" s="6">
        <v>25</v>
      </c>
      <c r="E21" s="6">
        <v>2</v>
      </c>
      <c r="F21" s="6">
        <f t="shared" si="0"/>
        <v>0</v>
      </c>
      <c r="G21" s="6">
        <f t="shared" si="1"/>
        <v>-1</v>
      </c>
      <c r="H21" s="6">
        <f t="shared" si="2"/>
        <v>-1</v>
      </c>
      <c r="I21" s="7">
        <f t="shared" si="3"/>
        <v>0</v>
      </c>
      <c r="J21" s="7">
        <f t="shared" si="4"/>
        <v>1</v>
      </c>
      <c r="K21" s="7">
        <f t="shared" si="5"/>
        <v>1</v>
      </c>
      <c r="L21" s="7">
        <f t="shared" si="6"/>
        <v>0</v>
      </c>
      <c r="M21" s="7">
        <f t="shared" si="7"/>
        <v>0</v>
      </c>
      <c r="N21" s="7">
        <f t="shared" si="8"/>
        <v>1</v>
      </c>
      <c r="O21" s="8">
        <v>17.899999999999999</v>
      </c>
      <c r="P21" s="8">
        <v>78.540000000000006</v>
      </c>
    </row>
    <row r="22" spans="1:16">
      <c r="A22" s="6">
        <v>21</v>
      </c>
      <c r="B22" s="6">
        <v>20</v>
      </c>
      <c r="C22" s="6">
        <v>50</v>
      </c>
      <c r="D22" s="6">
        <v>50</v>
      </c>
      <c r="E22" s="6">
        <v>1</v>
      </c>
      <c r="F22" s="6">
        <f t="shared" si="0"/>
        <v>0</v>
      </c>
      <c r="G22" s="6">
        <f t="shared" si="1"/>
        <v>-1</v>
      </c>
      <c r="H22" s="6">
        <f t="shared" si="2"/>
        <v>0</v>
      </c>
      <c r="I22" s="7">
        <f t="shared" si="3"/>
        <v>0</v>
      </c>
      <c r="J22" s="7">
        <f t="shared" si="4"/>
        <v>1</v>
      </c>
      <c r="K22" s="7">
        <f t="shared" si="5"/>
        <v>0</v>
      </c>
      <c r="L22" s="7">
        <f t="shared" si="6"/>
        <v>0</v>
      </c>
      <c r="M22" s="7">
        <f t="shared" si="7"/>
        <v>0</v>
      </c>
      <c r="N22" s="7">
        <f t="shared" si="8"/>
        <v>0</v>
      </c>
      <c r="O22" s="8">
        <v>17.89</v>
      </c>
      <c r="P22" s="8">
        <v>83.31</v>
      </c>
    </row>
    <row r="23" spans="1:16">
      <c r="A23" s="6">
        <v>22</v>
      </c>
      <c r="B23" s="6">
        <v>20</v>
      </c>
      <c r="C23" s="6">
        <v>50</v>
      </c>
      <c r="D23" s="6">
        <v>50</v>
      </c>
      <c r="E23" s="6">
        <v>2</v>
      </c>
      <c r="F23" s="6">
        <f t="shared" si="0"/>
        <v>0</v>
      </c>
      <c r="G23" s="6">
        <f t="shared" si="1"/>
        <v>-1</v>
      </c>
      <c r="H23" s="6">
        <f t="shared" si="2"/>
        <v>0</v>
      </c>
      <c r="I23" s="7">
        <f t="shared" si="3"/>
        <v>0</v>
      </c>
      <c r="J23" s="7">
        <f t="shared" si="4"/>
        <v>1</v>
      </c>
      <c r="K23" s="7">
        <f t="shared" si="5"/>
        <v>0</v>
      </c>
      <c r="L23" s="7">
        <f t="shared" si="6"/>
        <v>0</v>
      </c>
      <c r="M23" s="7">
        <f t="shared" si="7"/>
        <v>0</v>
      </c>
      <c r="N23" s="7">
        <f t="shared" si="8"/>
        <v>0</v>
      </c>
      <c r="O23" s="8">
        <v>17.54</v>
      </c>
      <c r="P23" s="8">
        <v>83.02</v>
      </c>
    </row>
    <row r="24" spans="1:16">
      <c r="A24" s="6">
        <v>23</v>
      </c>
      <c r="B24" s="6">
        <v>20</v>
      </c>
      <c r="C24" s="6">
        <v>50</v>
      </c>
      <c r="D24" s="6">
        <v>75</v>
      </c>
      <c r="E24" s="6">
        <v>1</v>
      </c>
      <c r="F24" s="6">
        <f t="shared" si="0"/>
        <v>0</v>
      </c>
      <c r="G24" s="6">
        <f t="shared" si="1"/>
        <v>-1</v>
      </c>
      <c r="H24" s="6">
        <f t="shared" si="2"/>
        <v>1</v>
      </c>
      <c r="I24" s="7">
        <f t="shared" si="3"/>
        <v>0</v>
      </c>
      <c r="J24" s="7">
        <f t="shared" si="4"/>
        <v>1</v>
      </c>
      <c r="K24" s="7">
        <f t="shared" si="5"/>
        <v>1</v>
      </c>
      <c r="L24" s="7">
        <f t="shared" si="6"/>
        <v>0</v>
      </c>
      <c r="M24" s="7">
        <f t="shared" si="7"/>
        <v>0</v>
      </c>
      <c r="N24" s="7">
        <f t="shared" si="8"/>
        <v>-1</v>
      </c>
      <c r="O24" s="8">
        <v>16.38</v>
      </c>
      <c r="P24" s="8">
        <v>85.4</v>
      </c>
    </row>
    <row r="25" spans="1:16">
      <c r="A25" s="6">
        <v>24</v>
      </c>
      <c r="B25" s="6">
        <v>20</v>
      </c>
      <c r="C25" s="6">
        <v>50</v>
      </c>
      <c r="D25" s="6">
        <v>75</v>
      </c>
      <c r="E25" s="6">
        <v>2</v>
      </c>
      <c r="F25" s="6">
        <f t="shared" si="0"/>
        <v>0</v>
      </c>
      <c r="G25" s="6">
        <f t="shared" si="1"/>
        <v>-1</v>
      </c>
      <c r="H25" s="6">
        <f t="shared" si="2"/>
        <v>1</v>
      </c>
      <c r="I25" s="7">
        <f t="shared" si="3"/>
        <v>0</v>
      </c>
      <c r="J25" s="7">
        <f t="shared" si="4"/>
        <v>1</v>
      </c>
      <c r="K25" s="7">
        <f t="shared" si="5"/>
        <v>1</v>
      </c>
      <c r="L25" s="7">
        <f t="shared" si="6"/>
        <v>0</v>
      </c>
      <c r="M25" s="7">
        <f t="shared" si="7"/>
        <v>0</v>
      </c>
      <c r="N25" s="7">
        <f t="shared" si="8"/>
        <v>-1</v>
      </c>
      <c r="O25" s="8">
        <v>19.100000000000001</v>
      </c>
      <c r="P25" s="8">
        <v>87.42</v>
      </c>
    </row>
    <row r="26" spans="1:16">
      <c r="A26" s="6">
        <v>25</v>
      </c>
      <c r="B26" s="6">
        <v>20</v>
      </c>
      <c r="C26" s="6">
        <v>100</v>
      </c>
      <c r="D26" s="6">
        <v>25</v>
      </c>
      <c r="E26" s="6">
        <v>1</v>
      </c>
      <c r="F26" s="6">
        <f t="shared" si="0"/>
        <v>0</v>
      </c>
      <c r="G26" s="6">
        <f t="shared" si="1"/>
        <v>0</v>
      </c>
      <c r="H26" s="6">
        <f t="shared" si="2"/>
        <v>-1</v>
      </c>
      <c r="I26" s="7">
        <f t="shared" si="3"/>
        <v>0</v>
      </c>
      <c r="J26" s="7">
        <f t="shared" si="4"/>
        <v>0</v>
      </c>
      <c r="K26" s="7">
        <f t="shared" si="5"/>
        <v>1</v>
      </c>
      <c r="L26" s="7">
        <f t="shared" si="6"/>
        <v>0</v>
      </c>
      <c r="M26" s="7">
        <f t="shared" si="7"/>
        <v>0</v>
      </c>
      <c r="N26" s="7">
        <f t="shared" si="8"/>
        <v>0</v>
      </c>
      <c r="O26" s="8">
        <v>18.649999999999999</v>
      </c>
      <c r="P26" s="8">
        <v>77.34</v>
      </c>
    </row>
    <row r="27" spans="1:16">
      <c r="A27" s="6">
        <v>26</v>
      </c>
      <c r="B27" s="6">
        <v>20</v>
      </c>
      <c r="C27" s="6">
        <v>100</v>
      </c>
      <c r="D27" s="6">
        <v>25</v>
      </c>
      <c r="E27" s="6">
        <v>2</v>
      </c>
      <c r="F27" s="6">
        <f t="shared" si="0"/>
        <v>0</v>
      </c>
      <c r="G27" s="6">
        <f t="shared" si="1"/>
        <v>0</v>
      </c>
      <c r="H27" s="6">
        <f t="shared" si="2"/>
        <v>-1</v>
      </c>
      <c r="I27" s="7">
        <f t="shared" si="3"/>
        <v>0</v>
      </c>
      <c r="J27" s="7">
        <f t="shared" si="4"/>
        <v>0</v>
      </c>
      <c r="K27" s="7">
        <f t="shared" si="5"/>
        <v>1</v>
      </c>
      <c r="L27" s="7">
        <f t="shared" si="6"/>
        <v>0</v>
      </c>
      <c r="M27" s="7">
        <f t="shared" si="7"/>
        <v>0</v>
      </c>
      <c r="N27" s="7">
        <f t="shared" si="8"/>
        <v>0</v>
      </c>
      <c r="O27" s="8">
        <v>20.79</v>
      </c>
      <c r="P27" s="8">
        <v>77.72</v>
      </c>
    </row>
    <row r="28" spans="1:16">
      <c r="A28" s="6">
        <v>27</v>
      </c>
      <c r="B28" s="6">
        <v>20</v>
      </c>
      <c r="C28" s="6">
        <v>100</v>
      </c>
      <c r="D28" s="6">
        <v>50</v>
      </c>
      <c r="E28" s="6">
        <v>1</v>
      </c>
      <c r="F28" s="6">
        <f t="shared" si="0"/>
        <v>0</v>
      </c>
      <c r="G28" s="6">
        <f t="shared" si="1"/>
        <v>0</v>
      </c>
      <c r="H28" s="6">
        <f t="shared" si="2"/>
        <v>0</v>
      </c>
      <c r="I28" s="7">
        <f t="shared" si="3"/>
        <v>0</v>
      </c>
      <c r="J28" s="7">
        <f t="shared" si="4"/>
        <v>0</v>
      </c>
      <c r="K28" s="7">
        <f t="shared" si="5"/>
        <v>0</v>
      </c>
      <c r="L28" s="7">
        <f t="shared" si="6"/>
        <v>0</v>
      </c>
      <c r="M28" s="7">
        <f t="shared" si="7"/>
        <v>0</v>
      </c>
      <c r="N28" s="7">
        <f t="shared" si="8"/>
        <v>0</v>
      </c>
      <c r="O28" s="8">
        <v>20.13</v>
      </c>
      <c r="P28" s="8">
        <v>81.63</v>
      </c>
    </row>
    <row r="29" spans="1:16">
      <c r="A29" s="6">
        <v>28</v>
      </c>
      <c r="B29" s="6">
        <v>20</v>
      </c>
      <c r="C29" s="6">
        <v>100</v>
      </c>
      <c r="D29" s="6">
        <v>50</v>
      </c>
      <c r="E29" s="6">
        <v>2</v>
      </c>
      <c r="F29" s="6">
        <f t="shared" si="0"/>
        <v>0</v>
      </c>
      <c r="G29" s="6">
        <f t="shared" si="1"/>
        <v>0</v>
      </c>
      <c r="H29" s="6">
        <f t="shared" si="2"/>
        <v>0</v>
      </c>
      <c r="I29" s="7">
        <f t="shared" si="3"/>
        <v>0</v>
      </c>
      <c r="J29" s="7">
        <f t="shared" si="4"/>
        <v>0</v>
      </c>
      <c r="K29" s="7">
        <f t="shared" si="5"/>
        <v>0</v>
      </c>
      <c r="L29" s="7">
        <f t="shared" si="6"/>
        <v>0</v>
      </c>
      <c r="M29" s="7">
        <f t="shared" si="7"/>
        <v>0</v>
      </c>
      <c r="N29" s="7">
        <f t="shared" si="8"/>
        <v>0</v>
      </c>
      <c r="O29" s="8">
        <v>19.829999999999998</v>
      </c>
      <c r="P29" s="8">
        <v>81.349999999999994</v>
      </c>
    </row>
    <row r="30" spans="1:16">
      <c r="A30" s="6">
        <v>29</v>
      </c>
      <c r="B30" s="6">
        <v>20</v>
      </c>
      <c r="C30" s="6">
        <v>100</v>
      </c>
      <c r="D30" s="6">
        <v>75</v>
      </c>
      <c r="E30" s="6">
        <v>1</v>
      </c>
      <c r="F30" s="6">
        <f t="shared" si="0"/>
        <v>0</v>
      </c>
      <c r="G30" s="6">
        <f t="shared" si="1"/>
        <v>0</v>
      </c>
      <c r="H30" s="6">
        <f t="shared" si="2"/>
        <v>1</v>
      </c>
      <c r="I30" s="7">
        <f t="shared" si="3"/>
        <v>0</v>
      </c>
      <c r="J30" s="7">
        <f t="shared" si="4"/>
        <v>0</v>
      </c>
      <c r="K30" s="7">
        <f t="shared" si="5"/>
        <v>1</v>
      </c>
      <c r="L30" s="7">
        <f t="shared" si="6"/>
        <v>0</v>
      </c>
      <c r="M30" s="7">
        <f t="shared" si="7"/>
        <v>0</v>
      </c>
      <c r="N30" s="7">
        <f t="shared" si="8"/>
        <v>0</v>
      </c>
      <c r="O30" s="8">
        <v>20.43</v>
      </c>
      <c r="P30" s="8">
        <v>83.85</v>
      </c>
    </row>
    <row r="31" spans="1:16">
      <c r="A31" s="6">
        <v>30</v>
      </c>
      <c r="B31" s="6">
        <v>20</v>
      </c>
      <c r="C31" s="6">
        <v>100</v>
      </c>
      <c r="D31" s="6">
        <v>75</v>
      </c>
      <c r="E31" s="6">
        <v>2</v>
      </c>
      <c r="F31" s="6">
        <f t="shared" si="0"/>
        <v>0</v>
      </c>
      <c r="G31" s="6">
        <f t="shared" si="1"/>
        <v>0</v>
      </c>
      <c r="H31" s="6">
        <f t="shared" si="2"/>
        <v>1</v>
      </c>
      <c r="I31" s="7">
        <f t="shared" si="3"/>
        <v>0</v>
      </c>
      <c r="J31" s="7">
        <f t="shared" si="4"/>
        <v>0</v>
      </c>
      <c r="K31" s="7">
        <f t="shared" si="5"/>
        <v>1</v>
      </c>
      <c r="L31" s="7">
        <f t="shared" si="6"/>
        <v>0</v>
      </c>
      <c r="M31" s="7">
        <f t="shared" si="7"/>
        <v>0</v>
      </c>
      <c r="N31" s="7">
        <f t="shared" si="8"/>
        <v>0</v>
      </c>
      <c r="O31" s="8">
        <v>22.18</v>
      </c>
      <c r="P31" s="8">
        <v>84.2</v>
      </c>
    </row>
    <row r="32" spans="1:16">
      <c r="A32" s="6">
        <v>31</v>
      </c>
      <c r="B32" s="6">
        <v>20</v>
      </c>
      <c r="C32" s="6">
        <v>150</v>
      </c>
      <c r="D32" s="6">
        <v>25</v>
      </c>
      <c r="E32" s="6">
        <v>1</v>
      </c>
      <c r="F32" s="6">
        <f t="shared" si="0"/>
        <v>0</v>
      </c>
      <c r="G32" s="6">
        <f t="shared" si="1"/>
        <v>1</v>
      </c>
      <c r="H32" s="6">
        <f t="shared" si="2"/>
        <v>-1</v>
      </c>
      <c r="I32" s="7">
        <f t="shared" si="3"/>
        <v>0</v>
      </c>
      <c r="J32" s="7">
        <f t="shared" si="4"/>
        <v>1</v>
      </c>
      <c r="K32" s="7">
        <f t="shared" si="5"/>
        <v>1</v>
      </c>
      <c r="L32" s="7">
        <f t="shared" si="6"/>
        <v>0</v>
      </c>
      <c r="M32" s="7">
        <f t="shared" si="7"/>
        <v>0</v>
      </c>
      <c r="N32" s="7">
        <f t="shared" si="8"/>
        <v>-1</v>
      </c>
      <c r="O32" s="8">
        <v>22.12</v>
      </c>
      <c r="P32" s="8">
        <v>74.349999999999994</v>
      </c>
    </row>
    <row r="33" spans="1:16">
      <c r="A33" s="6">
        <v>32</v>
      </c>
      <c r="B33" s="6">
        <v>20</v>
      </c>
      <c r="C33" s="6">
        <v>150</v>
      </c>
      <c r="D33" s="6">
        <v>25</v>
      </c>
      <c r="E33" s="6">
        <v>2</v>
      </c>
      <c r="F33" s="6">
        <f t="shared" si="0"/>
        <v>0</v>
      </c>
      <c r="G33" s="6">
        <f t="shared" si="1"/>
        <v>1</v>
      </c>
      <c r="H33" s="6">
        <f t="shared" si="2"/>
        <v>-1</v>
      </c>
      <c r="I33" s="7">
        <f t="shared" si="3"/>
        <v>0</v>
      </c>
      <c r="J33" s="7">
        <f t="shared" si="4"/>
        <v>1</v>
      </c>
      <c r="K33" s="7">
        <f t="shared" si="5"/>
        <v>1</v>
      </c>
      <c r="L33" s="7">
        <f t="shared" si="6"/>
        <v>0</v>
      </c>
      <c r="M33" s="7">
        <f t="shared" si="7"/>
        <v>0</v>
      </c>
      <c r="N33" s="7">
        <f t="shared" si="8"/>
        <v>-1</v>
      </c>
      <c r="O33" s="8">
        <v>22.47</v>
      </c>
      <c r="P33" s="8">
        <v>76.150000000000006</v>
      </c>
    </row>
    <row r="34" spans="1:16">
      <c r="A34" s="6">
        <v>33</v>
      </c>
      <c r="B34" s="6">
        <v>20</v>
      </c>
      <c r="C34" s="6">
        <v>150</v>
      </c>
      <c r="D34" s="6">
        <v>50</v>
      </c>
      <c r="E34" s="6">
        <v>1</v>
      </c>
      <c r="F34" s="6">
        <f t="shared" ref="F34:F55" si="9">(B34-20)/20</f>
        <v>0</v>
      </c>
      <c r="G34" s="6">
        <f t="shared" ref="G34:G55" si="10">(C34-100)/50</f>
        <v>1</v>
      </c>
      <c r="H34" s="6">
        <f t="shared" ref="H34:H55" si="11">(D34-50)/25</f>
        <v>0</v>
      </c>
      <c r="I34" s="7">
        <f t="shared" ref="I34:I55" si="12">F34^2</f>
        <v>0</v>
      </c>
      <c r="J34" s="7">
        <f t="shared" ref="J34:J55" si="13">G34^2</f>
        <v>1</v>
      </c>
      <c r="K34" s="7">
        <f t="shared" ref="K34:K55" si="14">H34^2</f>
        <v>0</v>
      </c>
      <c r="L34" s="7">
        <f t="shared" ref="L34:L55" si="15">F34*G34</f>
        <v>0</v>
      </c>
      <c r="M34" s="7">
        <f t="shared" ref="M34:M55" si="16">F34*H34</f>
        <v>0</v>
      </c>
      <c r="N34" s="7">
        <f t="shared" ref="N34:N55" si="17">G34*H34</f>
        <v>0</v>
      </c>
      <c r="O34" s="8">
        <v>24.3</v>
      </c>
      <c r="P34" s="8">
        <v>77.959999999999994</v>
      </c>
    </row>
    <row r="35" spans="1:16">
      <c r="A35" s="6">
        <v>34</v>
      </c>
      <c r="B35" s="6">
        <v>20</v>
      </c>
      <c r="C35" s="6">
        <v>150</v>
      </c>
      <c r="D35" s="6">
        <v>50</v>
      </c>
      <c r="E35" s="6">
        <v>2</v>
      </c>
      <c r="F35" s="6">
        <f t="shared" si="9"/>
        <v>0</v>
      </c>
      <c r="G35" s="6">
        <f t="shared" si="10"/>
        <v>1</v>
      </c>
      <c r="H35" s="6">
        <f t="shared" si="11"/>
        <v>0</v>
      </c>
      <c r="I35" s="7">
        <f t="shared" si="12"/>
        <v>0</v>
      </c>
      <c r="J35" s="7">
        <f t="shared" si="13"/>
        <v>1</v>
      </c>
      <c r="K35" s="7">
        <f t="shared" si="14"/>
        <v>0</v>
      </c>
      <c r="L35" s="7">
        <f t="shared" si="15"/>
        <v>0</v>
      </c>
      <c r="M35" s="7">
        <f t="shared" si="16"/>
        <v>0</v>
      </c>
      <c r="N35" s="7">
        <f t="shared" si="17"/>
        <v>0</v>
      </c>
      <c r="O35" s="8">
        <v>23.25</v>
      </c>
      <c r="P35" s="8">
        <v>77.87</v>
      </c>
    </row>
    <row r="36" spans="1:16">
      <c r="A36" s="6">
        <v>35</v>
      </c>
      <c r="B36" s="6">
        <v>20</v>
      </c>
      <c r="C36" s="6">
        <v>150</v>
      </c>
      <c r="D36" s="6">
        <v>75</v>
      </c>
      <c r="E36" s="6">
        <v>1</v>
      </c>
      <c r="F36" s="6">
        <f t="shared" si="9"/>
        <v>0</v>
      </c>
      <c r="G36" s="6">
        <f t="shared" si="10"/>
        <v>1</v>
      </c>
      <c r="H36" s="6">
        <f t="shared" si="11"/>
        <v>1</v>
      </c>
      <c r="I36" s="7">
        <f t="shared" si="12"/>
        <v>0</v>
      </c>
      <c r="J36" s="7">
        <f t="shared" si="13"/>
        <v>1</v>
      </c>
      <c r="K36" s="7">
        <f t="shared" si="14"/>
        <v>1</v>
      </c>
      <c r="L36" s="7">
        <f t="shared" si="15"/>
        <v>0</v>
      </c>
      <c r="M36" s="7">
        <f t="shared" si="16"/>
        <v>0</v>
      </c>
      <c r="N36" s="7">
        <f t="shared" si="17"/>
        <v>1</v>
      </c>
      <c r="O36" s="8">
        <v>27.21</v>
      </c>
      <c r="P36" s="8">
        <v>79.11</v>
      </c>
    </row>
    <row r="37" spans="1:16">
      <c r="A37" s="6">
        <v>36</v>
      </c>
      <c r="B37" s="6">
        <v>20</v>
      </c>
      <c r="C37" s="6">
        <v>150</v>
      </c>
      <c r="D37" s="6">
        <v>75</v>
      </c>
      <c r="E37" s="6">
        <v>2</v>
      </c>
      <c r="F37" s="6">
        <f t="shared" si="9"/>
        <v>0</v>
      </c>
      <c r="G37" s="6">
        <f t="shared" si="10"/>
        <v>1</v>
      </c>
      <c r="H37" s="6">
        <f t="shared" si="11"/>
        <v>1</v>
      </c>
      <c r="I37" s="7">
        <f t="shared" si="12"/>
        <v>0</v>
      </c>
      <c r="J37" s="7">
        <f t="shared" si="13"/>
        <v>1</v>
      </c>
      <c r="K37" s="7">
        <f t="shared" si="14"/>
        <v>1</v>
      </c>
      <c r="L37" s="7">
        <f t="shared" si="15"/>
        <v>0</v>
      </c>
      <c r="M37" s="7">
        <f t="shared" si="16"/>
        <v>0</v>
      </c>
      <c r="N37" s="7">
        <f t="shared" si="17"/>
        <v>1</v>
      </c>
      <c r="O37" s="8">
        <v>29.55</v>
      </c>
      <c r="P37" s="8">
        <v>79.56</v>
      </c>
    </row>
    <row r="38" spans="1:16">
      <c r="A38" s="6">
        <v>37</v>
      </c>
      <c r="B38" s="6">
        <v>40</v>
      </c>
      <c r="C38" s="6">
        <v>50</v>
      </c>
      <c r="D38" s="6">
        <v>25</v>
      </c>
      <c r="E38" s="6">
        <v>1</v>
      </c>
      <c r="F38" s="6">
        <f t="shared" si="9"/>
        <v>1</v>
      </c>
      <c r="G38" s="6">
        <f t="shared" si="10"/>
        <v>-1</v>
      </c>
      <c r="H38" s="6">
        <f t="shared" si="11"/>
        <v>-1</v>
      </c>
      <c r="I38" s="7">
        <f t="shared" si="12"/>
        <v>1</v>
      </c>
      <c r="J38" s="7">
        <f t="shared" si="13"/>
        <v>1</v>
      </c>
      <c r="K38" s="7">
        <f t="shared" si="14"/>
        <v>1</v>
      </c>
      <c r="L38" s="7">
        <f t="shared" si="15"/>
        <v>-1</v>
      </c>
      <c r="M38" s="7">
        <f t="shared" si="16"/>
        <v>-1</v>
      </c>
      <c r="N38" s="7">
        <f t="shared" si="17"/>
        <v>1</v>
      </c>
      <c r="O38" s="8">
        <v>11.24</v>
      </c>
      <c r="P38" s="8">
        <v>75.819999999999993</v>
      </c>
    </row>
    <row r="39" spans="1:16">
      <c r="A39" s="6">
        <v>38</v>
      </c>
      <c r="B39" s="6">
        <v>40</v>
      </c>
      <c r="C39" s="6">
        <v>50</v>
      </c>
      <c r="D39" s="6">
        <v>25</v>
      </c>
      <c r="E39" s="6">
        <v>2</v>
      </c>
      <c r="F39" s="6">
        <f t="shared" si="9"/>
        <v>1</v>
      </c>
      <c r="G39" s="6">
        <f t="shared" si="10"/>
        <v>-1</v>
      </c>
      <c r="H39" s="6">
        <f t="shared" si="11"/>
        <v>-1</v>
      </c>
      <c r="I39" s="7">
        <f t="shared" si="12"/>
        <v>1</v>
      </c>
      <c r="J39" s="7">
        <f t="shared" si="13"/>
        <v>1</v>
      </c>
      <c r="K39" s="7">
        <f t="shared" si="14"/>
        <v>1</v>
      </c>
      <c r="L39" s="7">
        <f t="shared" si="15"/>
        <v>-1</v>
      </c>
      <c r="M39" s="7">
        <f t="shared" si="16"/>
        <v>-1</v>
      </c>
      <c r="N39" s="7">
        <f t="shared" si="17"/>
        <v>1</v>
      </c>
      <c r="O39" s="8">
        <v>13.05</v>
      </c>
      <c r="P39" s="8">
        <v>74.989999999999995</v>
      </c>
    </row>
    <row r="40" spans="1:16">
      <c r="A40" s="6">
        <v>39</v>
      </c>
      <c r="B40" s="6">
        <v>40</v>
      </c>
      <c r="C40" s="6">
        <v>50</v>
      </c>
      <c r="D40" s="6">
        <v>50</v>
      </c>
      <c r="E40" s="6">
        <v>1</v>
      </c>
      <c r="F40" s="6">
        <f t="shared" si="9"/>
        <v>1</v>
      </c>
      <c r="G40" s="6">
        <f t="shared" si="10"/>
        <v>-1</v>
      </c>
      <c r="H40" s="6">
        <f t="shared" si="11"/>
        <v>0</v>
      </c>
      <c r="I40" s="7">
        <f t="shared" si="12"/>
        <v>1</v>
      </c>
      <c r="J40" s="7">
        <f t="shared" si="13"/>
        <v>1</v>
      </c>
      <c r="K40" s="7">
        <f t="shared" si="14"/>
        <v>0</v>
      </c>
      <c r="L40" s="7">
        <f t="shared" si="15"/>
        <v>-1</v>
      </c>
      <c r="M40" s="7">
        <f t="shared" si="16"/>
        <v>0</v>
      </c>
      <c r="N40" s="7">
        <f t="shared" si="17"/>
        <v>0</v>
      </c>
      <c r="O40" s="8">
        <v>11.73</v>
      </c>
      <c r="P40" s="8">
        <v>81.67</v>
      </c>
    </row>
    <row r="41" spans="1:16">
      <c r="A41" s="6">
        <v>40</v>
      </c>
      <c r="B41" s="6">
        <v>40</v>
      </c>
      <c r="C41" s="6">
        <v>50</v>
      </c>
      <c r="D41" s="6">
        <v>50</v>
      </c>
      <c r="E41" s="6">
        <v>2</v>
      </c>
      <c r="F41" s="6">
        <f t="shared" si="9"/>
        <v>1</v>
      </c>
      <c r="G41" s="6">
        <f t="shared" si="10"/>
        <v>-1</v>
      </c>
      <c r="H41" s="6">
        <f t="shared" si="11"/>
        <v>0</v>
      </c>
      <c r="I41" s="7">
        <f t="shared" si="12"/>
        <v>1</v>
      </c>
      <c r="J41" s="7">
        <f t="shared" si="13"/>
        <v>1</v>
      </c>
      <c r="K41" s="7">
        <f t="shared" si="14"/>
        <v>0</v>
      </c>
      <c r="L41" s="7">
        <f t="shared" si="15"/>
        <v>-1</v>
      </c>
      <c r="M41" s="7">
        <f t="shared" si="16"/>
        <v>0</v>
      </c>
      <c r="N41" s="7">
        <f t="shared" si="17"/>
        <v>0</v>
      </c>
      <c r="O41" s="8">
        <v>11.05</v>
      </c>
      <c r="P41" s="8">
        <v>80.41</v>
      </c>
    </row>
    <row r="42" spans="1:16">
      <c r="A42" s="6">
        <v>41</v>
      </c>
      <c r="B42" s="6">
        <v>40</v>
      </c>
      <c r="C42" s="6">
        <v>50</v>
      </c>
      <c r="D42" s="6">
        <v>75</v>
      </c>
      <c r="E42" s="6">
        <v>1</v>
      </c>
      <c r="F42" s="6">
        <f t="shared" si="9"/>
        <v>1</v>
      </c>
      <c r="G42" s="6">
        <f t="shared" si="10"/>
        <v>-1</v>
      </c>
      <c r="H42" s="6">
        <f t="shared" si="11"/>
        <v>1</v>
      </c>
      <c r="I42" s="7">
        <f t="shared" si="12"/>
        <v>1</v>
      </c>
      <c r="J42" s="7">
        <f t="shared" si="13"/>
        <v>1</v>
      </c>
      <c r="K42" s="7">
        <f t="shared" si="14"/>
        <v>1</v>
      </c>
      <c r="L42" s="7">
        <f t="shared" si="15"/>
        <v>-1</v>
      </c>
      <c r="M42" s="7">
        <f t="shared" si="16"/>
        <v>1</v>
      </c>
      <c r="N42" s="7">
        <f t="shared" si="17"/>
        <v>-1</v>
      </c>
      <c r="O42" s="8">
        <v>12.95</v>
      </c>
      <c r="P42" s="8">
        <v>86.15</v>
      </c>
    </row>
    <row r="43" spans="1:16">
      <c r="A43" s="6">
        <v>42</v>
      </c>
      <c r="B43" s="6">
        <v>40</v>
      </c>
      <c r="C43" s="6">
        <v>50</v>
      </c>
      <c r="D43" s="6">
        <v>75</v>
      </c>
      <c r="E43" s="6">
        <v>2</v>
      </c>
      <c r="F43" s="6">
        <f t="shared" si="9"/>
        <v>1</v>
      </c>
      <c r="G43" s="6">
        <f t="shared" si="10"/>
        <v>-1</v>
      </c>
      <c r="H43" s="6">
        <f t="shared" si="11"/>
        <v>1</v>
      </c>
      <c r="I43" s="7">
        <f t="shared" si="12"/>
        <v>1</v>
      </c>
      <c r="J43" s="7">
        <f t="shared" si="13"/>
        <v>1</v>
      </c>
      <c r="K43" s="7">
        <f t="shared" si="14"/>
        <v>1</v>
      </c>
      <c r="L43" s="7">
        <f t="shared" si="15"/>
        <v>-1</v>
      </c>
      <c r="M43" s="7">
        <f t="shared" si="16"/>
        <v>1</v>
      </c>
      <c r="N43" s="7">
        <f t="shared" si="17"/>
        <v>-1</v>
      </c>
      <c r="O43" s="8">
        <v>12.64</v>
      </c>
      <c r="P43" s="8">
        <v>85.24</v>
      </c>
    </row>
    <row r="44" spans="1:16">
      <c r="A44" s="6">
        <v>43</v>
      </c>
      <c r="B44" s="6">
        <v>40</v>
      </c>
      <c r="C44" s="6">
        <v>100</v>
      </c>
      <c r="D44" s="6">
        <v>25</v>
      </c>
      <c r="E44" s="6">
        <v>1</v>
      </c>
      <c r="F44" s="6">
        <f t="shared" si="9"/>
        <v>1</v>
      </c>
      <c r="G44" s="6">
        <f t="shared" si="10"/>
        <v>0</v>
      </c>
      <c r="H44" s="6">
        <f t="shared" si="11"/>
        <v>-1</v>
      </c>
      <c r="I44" s="7">
        <f t="shared" si="12"/>
        <v>1</v>
      </c>
      <c r="J44" s="7">
        <f t="shared" si="13"/>
        <v>0</v>
      </c>
      <c r="K44" s="7">
        <f t="shared" si="14"/>
        <v>1</v>
      </c>
      <c r="L44" s="7">
        <f t="shared" si="15"/>
        <v>0</v>
      </c>
      <c r="M44" s="7">
        <f t="shared" si="16"/>
        <v>-1</v>
      </c>
      <c r="N44" s="7">
        <f t="shared" si="17"/>
        <v>0</v>
      </c>
      <c r="O44" s="8">
        <v>13.55</v>
      </c>
      <c r="P44" s="8">
        <v>73.7</v>
      </c>
    </row>
    <row r="45" spans="1:16">
      <c r="A45" s="6">
        <v>44</v>
      </c>
      <c r="B45" s="6">
        <v>40</v>
      </c>
      <c r="C45" s="6">
        <v>100</v>
      </c>
      <c r="D45" s="6">
        <v>25</v>
      </c>
      <c r="E45" s="6">
        <v>2</v>
      </c>
      <c r="F45" s="6">
        <f t="shared" si="9"/>
        <v>1</v>
      </c>
      <c r="G45" s="6">
        <f t="shared" si="10"/>
        <v>0</v>
      </c>
      <c r="H45" s="6">
        <f t="shared" si="11"/>
        <v>-1</v>
      </c>
      <c r="I45" s="7">
        <f t="shared" si="12"/>
        <v>1</v>
      </c>
      <c r="J45" s="7">
        <f t="shared" si="13"/>
        <v>0</v>
      </c>
      <c r="K45" s="7">
        <f t="shared" si="14"/>
        <v>1</v>
      </c>
      <c r="L45" s="7">
        <f t="shared" si="15"/>
        <v>0</v>
      </c>
      <c r="M45" s="7">
        <f t="shared" si="16"/>
        <v>-1</v>
      </c>
      <c r="N45" s="7">
        <f t="shared" si="17"/>
        <v>0</v>
      </c>
      <c r="O45" s="8">
        <v>13.41</v>
      </c>
      <c r="P45" s="8">
        <v>74.650000000000006</v>
      </c>
    </row>
    <row r="46" spans="1:16">
      <c r="A46" s="6">
        <v>45</v>
      </c>
      <c r="B46" s="6">
        <v>40</v>
      </c>
      <c r="C46" s="6">
        <v>100</v>
      </c>
      <c r="D46" s="6">
        <v>50</v>
      </c>
      <c r="E46" s="6">
        <v>1</v>
      </c>
      <c r="F46" s="6">
        <f t="shared" si="9"/>
        <v>1</v>
      </c>
      <c r="G46" s="6">
        <f t="shared" si="10"/>
        <v>0</v>
      </c>
      <c r="H46" s="6">
        <f t="shared" si="11"/>
        <v>0</v>
      </c>
      <c r="I46" s="7">
        <f t="shared" si="12"/>
        <v>1</v>
      </c>
      <c r="J46" s="7">
        <f t="shared" si="13"/>
        <v>0</v>
      </c>
      <c r="K46" s="7">
        <f t="shared" si="14"/>
        <v>0</v>
      </c>
      <c r="L46" s="7">
        <f t="shared" si="15"/>
        <v>0</v>
      </c>
      <c r="M46" s="7">
        <f t="shared" si="16"/>
        <v>0</v>
      </c>
      <c r="N46" s="7">
        <f t="shared" si="17"/>
        <v>0</v>
      </c>
      <c r="O46" s="8">
        <v>16.489999999999998</v>
      </c>
      <c r="P46" s="8">
        <v>79.73</v>
      </c>
    </row>
    <row r="47" spans="1:16">
      <c r="A47" s="6">
        <v>46</v>
      </c>
      <c r="B47" s="6">
        <v>40</v>
      </c>
      <c r="C47" s="6">
        <v>100</v>
      </c>
      <c r="D47" s="6">
        <v>50</v>
      </c>
      <c r="E47" s="6">
        <v>2</v>
      </c>
      <c r="F47" s="6">
        <f t="shared" si="9"/>
        <v>1</v>
      </c>
      <c r="G47" s="6">
        <f t="shared" si="10"/>
        <v>0</v>
      </c>
      <c r="H47" s="6">
        <f t="shared" si="11"/>
        <v>0</v>
      </c>
      <c r="I47" s="7">
        <f t="shared" si="12"/>
        <v>1</v>
      </c>
      <c r="J47" s="7">
        <f t="shared" si="13"/>
        <v>0</v>
      </c>
      <c r="K47" s="7">
        <f t="shared" si="14"/>
        <v>0</v>
      </c>
      <c r="L47" s="7">
        <f t="shared" si="15"/>
        <v>0</v>
      </c>
      <c r="M47" s="7">
        <f t="shared" si="16"/>
        <v>0</v>
      </c>
      <c r="N47" s="7">
        <f t="shared" si="17"/>
        <v>0</v>
      </c>
      <c r="O47" s="8">
        <v>15.21</v>
      </c>
      <c r="P47" s="8">
        <v>79.739999999999995</v>
      </c>
    </row>
    <row r="48" spans="1:16">
      <c r="A48" s="6">
        <v>47</v>
      </c>
      <c r="B48" s="6">
        <v>40</v>
      </c>
      <c r="C48" s="6">
        <v>100</v>
      </c>
      <c r="D48" s="6">
        <v>75</v>
      </c>
      <c r="E48" s="6">
        <v>1</v>
      </c>
      <c r="F48" s="6">
        <f t="shared" si="9"/>
        <v>1</v>
      </c>
      <c r="G48" s="6">
        <f t="shared" si="10"/>
        <v>0</v>
      </c>
      <c r="H48" s="6">
        <f t="shared" si="11"/>
        <v>1</v>
      </c>
      <c r="I48" s="7">
        <f t="shared" si="12"/>
        <v>1</v>
      </c>
      <c r="J48" s="7">
        <f t="shared" si="13"/>
        <v>0</v>
      </c>
      <c r="K48" s="7">
        <f t="shared" si="14"/>
        <v>1</v>
      </c>
      <c r="L48" s="7">
        <f t="shared" si="15"/>
        <v>0</v>
      </c>
      <c r="M48" s="7">
        <f t="shared" si="16"/>
        <v>1</v>
      </c>
      <c r="N48" s="7">
        <f t="shared" si="17"/>
        <v>0</v>
      </c>
      <c r="O48" s="8">
        <v>15.78</v>
      </c>
      <c r="P48" s="8">
        <v>82.96</v>
      </c>
    </row>
    <row r="49" spans="1:16">
      <c r="A49" s="6">
        <v>48</v>
      </c>
      <c r="B49" s="6">
        <v>40</v>
      </c>
      <c r="C49" s="6">
        <v>100</v>
      </c>
      <c r="D49" s="6">
        <v>75</v>
      </c>
      <c r="E49" s="6">
        <v>2</v>
      </c>
      <c r="F49" s="6">
        <f t="shared" si="9"/>
        <v>1</v>
      </c>
      <c r="G49" s="6">
        <f t="shared" si="10"/>
        <v>0</v>
      </c>
      <c r="H49" s="6">
        <f t="shared" si="11"/>
        <v>1</v>
      </c>
      <c r="I49" s="7">
        <f t="shared" si="12"/>
        <v>1</v>
      </c>
      <c r="J49" s="7">
        <f t="shared" si="13"/>
        <v>0</v>
      </c>
      <c r="K49" s="7">
        <f t="shared" si="14"/>
        <v>1</v>
      </c>
      <c r="L49" s="7">
        <f t="shared" si="15"/>
        <v>0</v>
      </c>
      <c r="M49" s="7">
        <f t="shared" si="16"/>
        <v>1</v>
      </c>
      <c r="N49" s="7">
        <f t="shared" si="17"/>
        <v>0</v>
      </c>
      <c r="O49" s="8">
        <v>14.92</v>
      </c>
      <c r="P49" s="8">
        <v>82.97</v>
      </c>
    </row>
    <row r="50" spans="1:16">
      <c r="A50" s="6">
        <v>49</v>
      </c>
      <c r="B50" s="6">
        <v>40</v>
      </c>
      <c r="C50" s="6">
        <v>150</v>
      </c>
      <c r="D50" s="6">
        <v>25</v>
      </c>
      <c r="E50" s="6">
        <v>1</v>
      </c>
      <c r="F50" s="6">
        <f t="shared" si="9"/>
        <v>1</v>
      </c>
      <c r="G50" s="6">
        <f t="shared" si="10"/>
        <v>1</v>
      </c>
      <c r="H50" s="6">
        <f t="shared" si="11"/>
        <v>-1</v>
      </c>
      <c r="I50" s="7">
        <f t="shared" si="12"/>
        <v>1</v>
      </c>
      <c r="J50" s="7">
        <f t="shared" si="13"/>
        <v>1</v>
      </c>
      <c r="K50" s="7">
        <f t="shared" si="14"/>
        <v>1</v>
      </c>
      <c r="L50" s="7">
        <f t="shared" si="15"/>
        <v>1</v>
      </c>
      <c r="M50" s="7">
        <f t="shared" si="16"/>
        <v>-1</v>
      </c>
      <c r="N50" s="7">
        <f t="shared" si="17"/>
        <v>-1</v>
      </c>
      <c r="O50" s="8">
        <v>21.04</v>
      </c>
      <c r="P50" s="8">
        <v>72.13</v>
      </c>
    </row>
    <row r="51" spans="1:16">
      <c r="A51" s="6">
        <v>50</v>
      </c>
      <c r="B51" s="6">
        <v>40</v>
      </c>
      <c r="C51" s="6">
        <v>150</v>
      </c>
      <c r="D51" s="6">
        <v>25</v>
      </c>
      <c r="E51" s="6">
        <v>2</v>
      </c>
      <c r="F51" s="6">
        <f t="shared" si="9"/>
        <v>1</v>
      </c>
      <c r="G51" s="6">
        <f t="shared" si="10"/>
        <v>1</v>
      </c>
      <c r="H51" s="6">
        <f t="shared" si="11"/>
        <v>-1</v>
      </c>
      <c r="I51" s="7">
        <f t="shared" si="12"/>
        <v>1</v>
      </c>
      <c r="J51" s="7">
        <f t="shared" si="13"/>
        <v>1</v>
      </c>
      <c r="K51" s="7">
        <f t="shared" si="14"/>
        <v>1</v>
      </c>
      <c r="L51" s="7">
        <f t="shared" si="15"/>
        <v>1</v>
      </c>
      <c r="M51" s="7">
        <f t="shared" si="16"/>
        <v>-1</v>
      </c>
      <c r="N51" s="7">
        <f t="shared" si="17"/>
        <v>-1</v>
      </c>
      <c r="O51" s="8">
        <v>17.66</v>
      </c>
      <c r="P51" s="8">
        <v>71.459999999999994</v>
      </c>
    </row>
    <row r="52" spans="1:16">
      <c r="A52" s="6">
        <v>51</v>
      </c>
      <c r="B52" s="6">
        <v>40</v>
      </c>
      <c r="C52" s="6">
        <v>150</v>
      </c>
      <c r="D52" s="6">
        <v>50</v>
      </c>
      <c r="E52" s="6">
        <v>1</v>
      </c>
      <c r="F52" s="6">
        <f t="shared" si="9"/>
        <v>1</v>
      </c>
      <c r="G52" s="6">
        <f t="shared" si="10"/>
        <v>1</v>
      </c>
      <c r="H52" s="6">
        <f t="shared" si="11"/>
        <v>0</v>
      </c>
      <c r="I52" s="7">
        <f t="shared" si="12"/>
        <v>1</v>
      </c>
      <c r="J52" s="7">
        <f t="shared" si="13"/>
        <v>1</v>
      </c>
      <c r="K52" s="7">
        <f t="shared" si="14"/>
        <v>0</v>
      </c>
      <c r="L52" s="7">
        <f t="shared" si="15"/>
        <v>1</v>
      </c>
      <c r="M52" s="7">
        <f t="shared" si="16"/>
        <v>0</v>
      </c>
      <c r="N52" s="7">
        <f t="shared" si="17"/>
        <v>0</v>
      </c>
      <c r="O52" s="8">
        <v>18.18</v>
      </c>
      <c r="P52" s="8">
        <v>76.489999999999995</v>
      </c>
    </row>
    <row r="53" spans="1:16">
      <c r="A53" s="6">
        <v>52</v>
      </c>
      <c r="B53" s="6">
        <v>40</v>
      </c>
      <c r="C53" s="6">
        <v>150</v>
      </c>
      <c r="D53" s="6">
        <v>50</v>
      </c>
      <c r="E53" s="6">
        <v>2</v>
      </c>
      <c r="F53" s="6">
        <f t="shared" si="9"/>
        <v>1</v>
      </c>
      <c r="G53" s="6">
        <f t="shared" si="10"/>
        <v>1</v>
      </c>
      <c r="H53" s="6">
        <f t="shared" si="11"/>
        <v>0</v>
      </c>
      <c r="I53" s="7">
        <f t="shared" si="12"/>
        <v>1</v>
      </c>
      <c r="J53" s="7">
        <f t="shared" si="13"/>
        <v>1</v>
      </c>
      <c r="K53" s="7">
        <f t="shared" si="14"/>
        <v>0</v>
      </c>
      <c r="L53" s="7">
        <f t="shared" si="15"/>
        <v>1</v>
      </c>
      <c r="M53" s="7">
        <f t="shared" si="16"/>
        <v>0</v>
      </c>
      <c r="N53" s="7">
        <f t="shared" si="17"/>
        <v>0</v>
      </c>
      <c r="O53" s="8">
        <v>19.809999999999999</v>
      </c>
      <c r="P53" s="8">
        <v>75.58</v>
      </c>
    </row>
    <row r="54" spans="1:16">
      <c r="A54" s="6">
        <v>53</v>
      </c>
      <c r="B54" s="6">
        <v>40</v>
      </c>
      <c r="C54" s="6">
        <v>150</v>
      </c>
      <c r="D54" s="6">
        <v>75</v>
      </c>
      <c r="E54" s="6">
        <v>1</v>
      </c>
      <c r="F54" s="6">
        <f t="shared" si="9"/>
        <v>1</v>
      </c>
      <c r="G54" s="6">
        <f t="shared" si="10"/>
        <v>1</v>
      </c>
      <c r="H54" s="6">
        <f t="shared" si="11"/>
        <v>1</v>
      </c>
      <c r="I54" s="7">
        <f t="shared" si="12"/>
        <v>1</v>
      </c>
      <c r="J54" s="7">
        <f t="shared" si="13"/>
        <v>1</v>
      </c>
      <c r="K54" s="7">
        <f t="shared" si="14"/>
        <v>1</v>
      </c>
      <c r="L54" s="7">
        <f t="shared" si="15"/>
        <v>1</v>
      </c>
      <c r="M54" s="7">
        <f t="shared" si="16"/>
        <v>1</v>
      </c>
      <c r="N54" s="7">
        <f t="shared" si="17"/>
        <v>1</v>
      </c>
      <c r="O54" s="8">
        <v>21.73</v>
      </c>
      <c r="P54" s="8">
        <v>78.819999999999993</v>
      </c>
    </row>
    <row r="55" spans="1:16">
      <c r="A55" s="6">
        <v>54</v>
      </c>
      <c r="B55" s="6">
        <v>40</v>
      </c>
      <c r="C55" s="6">
        <v>150</v>
      </c>
      <c r="D55" s="6">
        <v>75</v>
      </c>
      <c r="E55" s="6">
        <v>2</v>
      </c>
      <c r="F55" s="6">
        <f t="shared" si="9"/>
        <v>1</v>
      </c>
      <c r="G55" s="6">
        <f t="shared" si="10"/>
        <v>1</v>
      </c>
      <c r="H55" s="6">
        <f t="shared" si="11"/>
        <v>1</v>
      </c>
      <c r="I55" s="7">
        <f t="shared" si="12"/>
        <v>1</v>
      </c>
      <c r="J55" s="7">
        <f t="shared" si="13"/>
        <v>1</v>
      </c>
      <c r="K55" s="7">
        <f t="shared" si="14"/>
        <v>1</v>
      </c>
      <c r="L55" s="7">
        <f t="shared" si="15"/>
        <v>1</v>
      </c>
      <c r="M55" s="7">
        <f t="shared" si="16"/>
        <v>1</v>
      </c>
      <c r="N55" s="7">
        <f t="shared" si="17"/>
        <v>1</v>
      </c>
      <c r="O55" s="8">
        <v>22.95</v>
      </c>
      <c r="P55" s="8">
        <v>79.180000000000007</v>
      </c>
    </row>
    <row r="57" spans="1:16">
      <c r="A57" s="9" t="s">
        <v>37</v>
      </c>
    </row>
  </sheetData>
  <phoneticPr fontId="1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zoomScaleNormal="100" workbookViewId="0"/>
  </sheetViews>
  <sheetFormatPr defaultColWidth="8.7109375" defaultRowHeight="15"/>
  <cols>
    <col min="1" max="1" width="13" customWidth="1"/>
    <col min="2" max="6" width="11" customWidth="1"/>
  </cols>
  <sheetData>
    <row r="1" spans="1:6" ht="16.5">
      <c r="A1" s="1" t="s">
        <v>52</v>
      </c>
    </row>
    <row r="2" spans="1:6">
      <c r="A2" s="19" t="s">
        <v>53</v>
      </c>
    </row>
    <row r="4" spans="1:6">
      <c r="A4" s="5" t="s">
        <v>54</v>
      </c>
      <c r="B4" s="5" t="s">
        <v>55</v>
      </c>
      <c r="C4" s="5" t="s">
        <v>56</v>
      </c>
      <c r="D4" s="5" t="s">
        <v>57</v>
      </c>
      <c r="E4" s="5" t="s">
        <v>58</v>
      </c>
      <c r="F4" s="20" t="s">
        <v>59</v>
      </c>
    </row>
    <row r="5" spans="1:6">
      <c r="A5" s="21" t="s">
        <v>49</v>
      </c>
      <c r="B5" s="22">
        <v>1634.45</v>
      </c>
      <c r="C5" s="22">
        <v>1</v>
      </c>
      <c r="D5" s="22">
        <v>997.21</v>
      </c>
      <c r="E5" s="22">
        <v>0</v>
      </c>
      <c r="F5" s="22" t="s">
        <v>60</v>
      </c>
    </row>
    <row r="6" spans="1:6">
      <c r="A6" s="21" t="s">
        <v>50</v>
      </c>
      <c r="B6" s="22">
        <v>513.92899999999997</v>
      </c>
      <c r="C6" s="22">
        <v>1</v>
      </c>
      <c r="D6" s="22">
        <v>313.56</v>
      </c>
      <c r="E6" s="22">
        <v>0</v>
      </c>
      <c r="F6" s="22" t="s">
        <v>60</v>
      </c>
    </row>
    <row r="7" spans="1:6">
      <c r="A7" s="21" t="s">
        <v>51</v>
      </c>
      <c r="B7" s="22">
        <v>104.21</v>
      </c>
      <c r="C7" s="22">
        <v>1</v>
      </c>
      <c r="D7" s="22">
        <v>63.58</v>
      </c>
      <c r="E7" s="22">
        <v>0</v>
      </c>
      <c r="F7" s="22" t="s">
        <v>60</v>
      </c>
    </row>
    <row r="8" spans="1:6">
      <c r="A8" s="23" t="s">
        <v>29</v>
      </c>
      <c r="B8" s="22">
        <v>35.420999999999999</v>
      </c>
      <c r="C8" s="22">
        <v>1</v>
      </c>
      <c r="D8" s="22">
        <v>21.61</v>
      </c>
      <c r="E8" s="22">
        <v>0</v>
      </c>
      <c r="F8" s="22" t="s">
        <v>60</v>
      </c>
    </row>
    <row r="9" spans="1:6">
      <c r="A9" s="24" t="s">
        <v>30</v>
      </c>
      <c r="B9" s="25">
        <v>4.9749999999999996</v>
      </c>
      <c r="C9" s="25">
        <v>1</v>
      </c>
      <c r="D9" s="25">
        <v>3.04</v>
      </c>
      <c r="E9" s="25">
        <v>8.8499999999999995E-2</v>
      </c>
      <c r="F9" s="25" t="s">
        <v>61</v>
      </c>
    </row>
    <row r="10" spans="1:6">
      <c r="A10" s="24" t="s">
        <v>31</v>
      </c>
      <c r="B10" s="25">
        <v>1.5529999999999999</v>
      </c>
      <c r="C10" s="25">
        <v>1</v>
      </c>
      <c r="D10" s="25">
        <v>0.95</v>
      </c>
      <c r="E10" s="25">
        <v>0.3357</v>
      </c>
      <c r="F10" s="25" t="s">
        <v>61</v>
      </c>
    </row>
    <row r="11" spans="1:6">
      <c r="A11" s="24" t="s">
        <v>32</v>
      </c>
      <c r="B11" s="25">
        <v>2.319</v>
      </c>
      <c r="C11" s="25">
        <v>1</v>
      </c>
      <c r="D11" s="25">
        <v>1.41</v>
      </c>
      <c r="E11" s="25">
        <v>0.24060000000000001</v>
      </c>
      <c r="F11" s="25" t="s">
        <v>61</v>
      </c>
    </row>
    <row r="12" spans="1:6">
      <c r="A12" s="23" t="s">
        <v>33</v>
      </c>
      <c r="B12" s="22">
        <v>17.204000000000001</v>
      </c>
      <c r="C12" s="22">
        <v>1</v>
      </c>
      <c r="D12" s="22">
        <v>10.5</v>
      </c>
      <c r="E12" s="22">
        <v>2.3E-3</v>
      </c>
      <c r="F12" s="22" t="s">
        <v>60</v>
      </c>
    </row>
    <row r="13" spans="1:6">
      <c r="A13" s="23" t="s">
        <v>34</v>
      </c>
      <c r="B13" s="22">
        <v>9.1140000000000008</v>
      </c>
      <c r="C13" s="22">
        <v>1</v>
      </c>
      <c r="D13" s="22">
        <v>5.56</v>
      </c>
      <c r="E13" s="22">
        <v>2.29E-2</v>
      </c>
      <c r="F13" s="22" t="s">
        <v>60</v>
      </c>
    </row>
    <row r="14" spans="1:6">
      <c r="A14" s="24" t="s">
        <v>62</v>
      </c>
      <c r="B14" s="25">
        <v>72.117000000000004</v>
      </c>
      <c r="C14" s="25">
        <v>44</v>
      </c>
      <c r="D14" s="25"/>
      <c r="E14" s="25"/>
      <c r="F14" s="25"/>
    </row>
  </sheetData>
  <phoneticPr fontId="1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4"/>
  <sheetViews>
    <sheetView zoomScaleNormal="100" workbookViewId="0"/>
  </sheetViews>
  <sheetFormatPr defaultColWidth="8.7109375" defaultRowHeight="15"/>
  <cols>
    <col min="1" max="1" width="13" customWidth="1"/>
    <col min="2" max="6" width="11" customWidth="1"/>
  </cols>
  <sheetData>
    <row r="1" spans="1:6" ht="16.5">
      <c r="A1" s="1" t="s">
        <v>63</v>
      </c>
    </row>
    <row r="2" spans="1:6">
      <c r="A2" s="19" t="s">
        <v>64</v>
      </c>
    </row>
    <row r="4" spans="1:6">
      <c r="A4" s="5" t="s">
        <v>54</v>
      </c>
      <c r="B4" s="5" t="s">
        <v>55</v>
      </c>
      <c r="C4" s="5" t="s">
        <v>56</v>
      </c>
      <c r="D4" s="5" t="s">
        <v>57</v>
      </c>
      <c r="E4" s="5" t="s">
        <v>58</v>
      </c>
      <c r="F4" s="20" t="s">
        <v>59</v>
      </c>
    </row>
    <row r="5" spans="1:6">
      <c r="A5" s="21" t="s">
        <v>49</v>
      </c>
      <c r="B5" s="22">
        <v>71.515000000000001</v>
      </c>
      <c r="C5" s="22">
        <v>1</v>
      </c>
      <c r="D5" s="22">
        <v>270.27999999999997</v>
      </c>
      <c r="E5" s="22">
        <v>0</v>
      </c>
      <c r="F5" s="22" t="s">
        <v>60</v>
      </c>
    </row>
    <row r="6" spans="1:6">
      <c r="A6" s="21" t="s">
        <v>50</v>
      </c>
      <c r="B6" s="22">
        <v>243.56800000000001</v>
      </c>
      <c r="C6" s="22">
        <v>1</v>
      </c>
      <c r="D6" s="22">
        <v>920.53</v>
      </c>
      <c r="E6" s="22">
        <v>0</v>
      </c>
      <c r="F6" s="22" t="s">
        <v>60</v>
      </c>
    </row>
    <row r="7" spans="1:6">
      <c r="A7" s="21" t="s">
        <v>51</v>
      </c>
      <c r="B7" s="22">
        <v>339.66500000000002</v>
      </c>
      <c r="C7" s="22">
        <v>1</v>
      </c>
      <c r="D7" s="22">
        <v>1283.72</v>
      </c>
      <c r="E7" s="22">
        <v>0</v>
      </c>
      <c r="F7" s="22" t="s">
        <v>60</v>
      </c>
    </row>
    <row r="8" spans="1:6">
      <c r="A8" s="23" t="s">
        <v>29</v>
      </c>
      <c r="B8" s="22">
        <v>4.6050000000000004</v>
      </c>
      <c r="C8" s="22">
        <v>1</v>
      </c>
      <c r="D8" s="22">
        <v>17.399999999999999</v>
      </c>
      <c r="E8" s="22">
        <v>1E-4</v>
      </c>
      <c r="F8" s="22" t="s">
        <v>60</v>
      </c>
    </row>
    <row r="9" spans="1:6">
      <c r="A9" s="23" t="s">
        <v>30</v>
      </c>
      <c r="B9" s="22">
        <v>7.3529999999999998</v>
      </c>
      <c r="C9" s="22">
        <v>1</v>
      </c>
      <c r="D9" s="22">
        <v>27.79</v>
      </c>
      <c r="E9" s="22">
        <v>0</v>
      </c>
      <c r="F9" s="22" t="s">
        <v>60</v>
      </c>
    </row>
    <row r="10" spans="1:6">
      <c r="A10" s="23" t="s">
        <v>31</v>
      </c>
      <c r="B10" s="22">
        <v>6.3559999999999999</v>
      </c>
      <c r="C10" s="22">
        <v>1</v>
      </c>
      <c r="D10" s="22">
        <v>24.02</v>
      </c>
      <c r="E10" s="22">
        <v>0</v>
      </c>
      <c r="F10" s="22" t="s">
        <v>60</v>
      </c>
    </row>
    <row r="11" spans="1:6">
      <c r="A11" s="24" t="s">
        <v>32</v>
      </c>
      <c r="B11" s="25">
        <v>3.0000000000000001E-3</v>
      </c>
      <c r="C11" s="25">
        <v>1</v>
      </c>
      <c r="D11" s="25">
        <v>0.01</v>
      </c>
      <c r="E11" s="25">
        <v>0.91200000000000003</v>
      </c>
      <c r="F11" s="25" t="s">
        <v>61</v>
      </c>
    </row>
    <row r="12" spans="1:6">
      <c r="A12" s="23" t="s">
        <v>33</v>
      </c>
      <c r="B12" s="22">
        <v>38.939</v>
      </c>
      <c r="C12" s="22">
        <v>1</v>
      </c>
      <c r="D12" s="22">
        <v>147.16</v>
      </c>
      <c r="E12" s="22">
        <v>0</v>
      </c>
      <c r="F12" s="22" t="s">
        <v>60</v>
      </c>
    </row>
    <row r="13" spans="1:6">
      <c r="A13" s="23" t="s">
        <v>34</v>
      </c>
      <c r="B13" s="22">
        <v>13.023999999999999</v>
      </c>
      <c r="C13" s="22">
        <v>1</v>
      </c>
      <c r="D13" s="22">
        <v>49.22</v>
      </c>
      <c r="E13" s="22">
        <v>0</v>
      </c>
      <c r="F13" s="22" t="s">
        <v>60</v>
      </c>
    </row>
    <row r="14" spans="1:6">
      <c r="A14" s="24" t="s">
        <v>62</v>
      </c>
      <c r="B14" s="25">
        <v>11.641999999999999</v>
      </c>
      <c r="C14" s="25">
        <v>44</v>
      </c>
      <c r="D14" s="25"/>
      <c r="E14" s="25"/>
      <c r="F14" s="25"/>
    </row>
  </sheetData>
  <phoneticPr fontId="1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9"/>
  <sheetViews>
    <sheetView zoomScaleNormal="100" workbookViewId="0">
      <selection activeCell="S24" sqref="S24"/>
    </sheetView>
  </sheetViews>
  <sheetFormatPr defaultColWidth="8.7109375" defaultRowHeight="15"/>
  <cols>
    <col min="1" max="1" width="16" customWidth="1"/>
    <col min="2" max="2" width="16.7109375" bestFit="1" customWidth="1"/>
    <col min="3" max="3" width="13.85546875" bestFit="1" customWidth="1"/>
    <col min="4" max="4" width="13" bestFit="1" customWidth="1"/>
    <col min="5" max="7" width="13.85546875" bestFit="1" customWidth="1"/>
    <col min="8" max="8" width="13" bestFit="1" customWidth="1"/>
    <col min="9" max="10" width="13.85546875" bestFit="1" customWidth="1"/>
    <col min="11" max="11" width="13" bestFit="1" customWidth="1"/>
  </cols>
  <sheetData>
    <row r="1" spans="1:13" ht="16.5">
      <c r="A1" s="10" t="s">
        <v>38</v>
      </c>
    </row>
    <row r="2" spans="1:13">
      <c r="A2" s="9" t="s">
        <v>39</v>
      </c>
    </row>
    <row r="4" spans="1:13">
      <c r="A4" s="11" t="s">
        <v>40</v>
      </c>
      <c r="M4" s="4" t="s">
        <v>41</v>
      </c>
    </row>
    <row r="5" spans="1:13">
      <c r="A5" s="2" t="s">
        <v>42</v>
      </c>
      <c r="B5" s="12">
        <f t="array" ref="B5:K5">LINEST(Design_Data!$O$2:$O$55,Design_Data!$F$2:$N$55,TRUE(),FALSE())</f>
        <v>0.61625000000000019</v>
      </c>
      <c r="C5" s="12">
        <v>-0.84666666666666646</v>
      </c>
      <c r="D5" s="12">
        <v>0.31083333333333285</v>
      </c>
      <c r="E5" s="12">
        <v>0.35972222222222316</v>
      </c>
      <c r="F5" s="12">
        <v>0.64388888888888851</v>
      </c>
      <c r="G5" s="12">
        <v>1.7180555555555552</v>
      </c>
      <c r="H5" s="12">
        <v>1.7013888888888902</v>
      </c>
      <c r="I5" s="12">
        <v>3.7783333333333324</v>
      </c>
      <c r="J5" s="12">
        <v>-6.7380555555555564</v>
      </c>
      <c r="K5" s="12">
        <v>20.094814814814814</v>
      </c>
      <c r="M5" s="13">
        <f>INDEX(LINEST(Design_Data!$O$2:$O$55,Design_Data!$F$2:$N$55,TRUE(),TRUE()),3,1)</f>
        <v>0.96989212822171667</v>
      </c>
    </row>
    <row r="7" spans="1:13">
      <c r="A7" s="2" t="s">
        <v>43</v>
      </c>
      <c r="B7" s="12">
        <f t="array" ref="B7:K7">LINEST(Design_Data!$P$2:$P$55,Design_Data!$F$2:$N$55,TRUE(),FALSE())</f>
        <v>-0.73666666666666669</v>
      </c>
      <c r="C7" s="12">
        <v>1.2737499999999988</v>
      </c>
      <c r="D7" s="12">
        <v>1.1666666666666591E-2</v>
      </c>
      <c r="E7" s="12">
        <v>-0.72777777777777652</v>
      </c>
      <c r="F7" s="12">
        <v>-0.78277777777777646</v>
      </c>
      <c r="G7" s="12">
        <v>-0.61944444444444546</v>
      </c>
      <c r="H7" s="12">
        <v>3.0716666666666681</v>
      </c>
      <c r="I7" s="12">
        <v>-2.6011111111111118</v>
      </c>
      <c r="J7" s="12">
        <v>-1.4094444444444454</v>
      </c>
      <c r="K7" s="12">
        <v>81.463148148148136</v>
      </c>
      <c r="M7" s="13">
        <f>INDEX(LINEST(Design_Data!$P$2:$P$55,Design_Data!$F$2:$N$55,TRUE(),TRUE()),3,1)</f>
        <v>0.98419619831513372</v>
      </c>
    </row>
    <row r="16" spans="1:13">
      <c r="A16" s="4" t="s">
        <v>44</v>
      </c>
    </row>
    <row r="17" spans="1:3">
      <c r="A17" s="5" t="s">
        <v>45</v>
      </c>
      <c r="B17" s="5" t="s">
        <v>46</v>
      </c>
      <c r="C17" s="5" t="s">
        <v>47</v>
      </c>
    </row>
    <row r="18" spans="1:3">
      <c r="A18" s="14" t="s">
        <v>48</v>
      </c>
      <c r="B18" s="15">
        <f>K5</f>
        <v>20.094814814814814</v>
      </c>
      <c r="C18" s="15">
        <f>K7</f>
        <v>81.463148148148136</v>
      </c>
    </row>
    <row r="19" spans="1:3">
      <c r="A19" s="16" t="s">
        <v>49</v>
      </c>
      <c r="B19" s="15">
        <f>J5</f>
        <v>-6.7380555555555564</v>
      </c>
      <c r="C19" s="15">
        <f>J7</f>
        <v>-1.4094444444444454</v>
      </c>
    </row>
    <row r="20" spans="1:3">
      <c r="A20" s="16" t="s">
        <v>50</v>
      </c>
      <c r="B20" s="15">
        <f>I5</f>
        <v>3.7783333333333324</v>
      </c>
      <c r="C20" s="15">
        <f>I7</f>
        <v>-2.6011111111111118</v>
      </c>
    </row>
    <row r="21" spans="1:3">
      <c r="A21" s="16" t="s">
        <v>51</v>
      </c>
      <c r="B21" s="15">
        <f>H5</f>
        <v>1.7013888888888902</v>
      </c>
      <c r="C21" s="15">
        <f>H7</f>
        <v>3.0716666666666681</v>
      </c>
    </row>
    <row r="22" spans="1:3">
      <c r="A22" s="16" t="s">
        <v>29</v>
      </c>
      <c r="B22" s="15">
        <f>G5</f>
        <v>1.7180555555555552</v>
      </c>
      <c r="C22" s="15">
        <f>G7</f>
        <v>-0.61944444444444546</v>
      </c>
    </row>
    <row r="23" spans="1:3">
      <c r="A23" s="16" t="s">
        <v>30</v>
      </c>
      <c r="B23" s="15">
        <f>F5</f>
        <v>0.64388888888888851</v>
      </c>
      <c r="C23" s="15">
        <f>F7</f>
        <v>-0.78277777777777646</v>
      </c>
    </row>
    <row r="24" spans="1:3">
      <c r="A24" s="16" t="s">
        <v>31</v>
      </c>
      <c r="B24" s="15">
        <f>E5</f>
        <v>0.35972222222222316</v>
      </c>
      <c r="C24" s="15">
        <f>E7</f>
        <v>-0.72777777777777652</v>
      </c>
    </row>
    <row r="25" spans="1:3">
      <c r="A25" s="16" t="s">
        <v>32</v>
      </c>
      <c r="B25" s="15">
        <f>D5</f>
        <v>0.31083333333333285</v>
      </c>
      <c r="C25" s="15">
        <f>D7</f>
        <v>1.1666666666666591E-2</v>
      </c>
    </row>
    <row r="26" spans="1:3">
      <c r="A26" s="16" t="s">
        <v>33</v>
      </c>
      <c r="B26" s="15">
        <f>C5</f>
        <v>-0.84666666666666646</v>
      </c>
      <c r="C26" s="15">
        <f>C7</f>
        <v>1.2737499999999988</v>
      </c>
    </row>
    <row r="27" spans="1:3">
      <c r="A27" s="16" t="s">
        <v>34</v>
      </c>
      <c r="B27" s="15">
        <f>B5</f>
        <v>0.61625000000000019</v>
      </c>
      <c r="C27" s="15">
        <f>B7</f>
        <v>-0.73666666666666669</v>
      </c>
    </row>
    <row r="29" spans="1:3">
      <c r="A29" s="17" t="s">
        <v>41</v>
      </c>
      <c r="B29" s="18">
        <f>M5</f>
        <v>0.96989212822171667</v>
      </c>
      <c r="C29" s="18">
        <f>M7</f>
        <v>0.98419619831513372</v>
      </c>
    </row>
  </sheetData>
  <phoneticPr fontId="1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"/>
  <sheetViews>
    <sheetView tabSelected="1" zoomScaleNormal="100" workbookViewId="0">
      <selection activeCell="F30" sqref="F30"/>
    </sheetView>
  </sheetViews>
  <sheetFormatPr defaultColWidth="8.7109375" defaultRowHeight="15"/>
  <cols>
    <col min="1" max="1" width="77.28515625" bestFit="1" customWidth="1"/>
    <col min="2" max="9" width="12" customWidth="1"/>
  </cols>
  <sheetData>
    <row r="1" spans="1:9" ht="16.5">
      <c r="A1" s="10" t="s">
        <v>65</v>
      </c>
    </row>
    <row r="2" spans="1:9">
      <c r="A2" s="19" t="s">
        <v>66</v>
      </c>
    </row>
    <row r="4" spans="1:9">
      <c r="A4" s="20" t="s">
        <v>67</v>
      </c>
      <c r="B4" s="5" t="s">
        <v>26</v>
      </c>
      <c r="C4" s="5" t="s">
        <v>27</v>
      </c>
      <c r="D4" s="5" t="s">
        <v>28</v>
      </c>
      <c r="E4" s="5" t="s">
        <v>68</v>
      </c>
      <c r="F4" s="5" t="s">
        <v>69</v>
      </c>
      <c r="G4" s="5" t="s">
        <v>70</v>
      </c>
      <c r="H4" s="20" t="s">
        <v>71</v>
      </c>
      <c r="I4" s="20" t="s">
        <v>72</v>
      </c>
    </row>
    <row r="5" spans="1:9">
      <c r="A5" s="26" t="s">
        <v>73</v>
      </c>
      <c r="B5" s="8">
        <v>-1</v>
      </c>
      <c r="C5" s="8">
        <v>0</v>
      </c>
      <c r="D5" s="8">
        <v>0</v>
      </c>
      <c r="E5" s="25">
        <f>20+B5*20</f>
        <v>0</v>
      </c>
      <c r="F5" s="25">
        <f>100+C5*50</f>
        <v>100</v>
      </c>
      <c r="G5" s="25">
        <f>50+D5*25</f>
        <v>50</v>
      </c>
      <c r="H5" s="27">
        <f>Regression!$B$18+Regression!$B$19*B5+Regression!$B$20*C5+Regression!$B$21*D5+Regression!$B$22*B5^2+Regression!$B$23*C5^2+Regression!$B$24*D5^2+Regression!$B$25*B5*C5+Regression!$B$26*B5*D5+Regression!$B$27*C5*D5</f>
        <v>28.550925925925927</v>
      </c>
      <c r="I5" s="27">
        <f>Regression!$C$18+Regression!$C$19*B5+Regression!$C$20*C5+Regression!$C$21*D5+Regression!$C$22*B5^2+Regression!$C$23*C5^2+Regression!$C$24*D5^2+Regression!$C$25*B5*C5+Regression!$C$26*B5*D5+Regression!$C$27*C5*D5</f>
        <v>82.253148148148142</v>
      </c>
    </row>
    <row r="6" spans="1:9">
      <c r="A6" s="26" t="s">
        <v>74</v>
      </c>
      <c r="B6" s="8">
        <v>-1</v>
      </c>
      <c r="C6" s="8">
        <v>-1</v>
      </c>
      <c r="D6" s="8">
        <v>0</v>
      </c>
      <c r="E6" s="25">
        <f>20+B6*20</f>
        <v>0</v>
      </c>
      <c r="F6" s="25">
        <f>100+C6*50</f>
        <v>50</v>
      </c>
      <c r="G6" s="25">
        <f>50+D6*25</f>
        <v>50</v>
      </c>
      <c r="H6" s="27">
        <f>Regression!$B$18+Regression!$B$19*B6+Regression!$B$20*C6+Regression!$B$21*D6+Regression!$B$22*B6^2+Regression!$B$23*C6^2+Regression!$B$24*D6^2+Regression!$B$25*B6*C6+Regression!$B$26*B6*D6+Regression!$B$27*C6*D6</f>
        <v>25.727314814814815</v>
      </c>
      <c r="I6" s="27">
        <f>Regression!$C$18+Regression!$C$19*B6+Regression!$C$20*C6+Regression!$C$21*D6+Regression!$C$22*B6^2+Regression!$C$23*C6^2+Regression!$C$24*D6^2+Regression!$C$25*B6*C6+Regression!$C$26*B6*D6+Regression!$C$27*C6*D6</f>
        <v>84.08314814814814</v>
      </c>
    </row>
    <row r="7" spans="1:9">
      <c r="A7" s="26" t="s">
        <v>75</v>
      </c>
      <c r="B7" s="8">
        <v>-1</v>
      </c>
      <c r="C7" s="8">
        <v>-1</v>
      </c>
      <c r="D7" s="8">
        <v>1</v>
      </c>
      <c r="E7" s="25">
        <f>20+B7*20</f>
        <v>0</v>
      </c>
      <c r="F7" s="25">
        <f>100+C7*50</f>
        <v>50</v>
      </c>
      <c r="G7" s="25">
        <f>50+D7*25</f>
        <v>75</v>
      </c>
      <c r="H7" s="27">
        <f>Regression!$B$18+Regression!$B$19*B7+Regression!$B$20*C7+Regression!$B$21*D7+Regression!$B$22*B7^2+Regression!$B$23*C7^2+Regression!$B$24*D7^2+Regression!$B$25*B7*C7+Regression!$B$26*B7*D7+Regression!$B$27*C7*D7</f>
        <v>28.018842592592595</v>
      </c>
      <c r="I7" s="27">
        <f>Regression!$C$18+Regression!$C$19*B7+Regression!$C$20*C7+Regression!$C$21*D7+Regression!$C$22*B7^2+Regression!$C$23*C7^2+Regression!$C$24*D7^2+Regression!$C$25*B7*C7+Regression!$C$26*B7*D7+Regression!$C$27*C7*D7</f>
        <v>85.889953703703711</v>
      </c>
    </row>
    <row r="8" spans="1:9">
      <c r="A8" s="28" t="s">
        <v>76</v>
      </c>
      <c r="B8" s="29">
        <v>1</v>
      </c>
      <c r="C8" s="29">
        <v>-1</v>
      </c>
      <c r="D8" s="29">
        <v>1</v>
      </c>
      <c r="E8" s="30">
        <f>20+B8*20</f>
        <v>40</v>
      </c>
      <c r="F8" s="30">
        <f>100+C8*50</f>
        <v>50</v>
      </c>
      <c r="G8" s="30">
        <f>50+D8*25</f>
        <v>75</v>
      </c>
      <c r="H8" s="31">
        <f>Regression!$B$18+Regression!$B$19*B8+Regression!$B$20*C8+Regression!$B$21*D8+Regression!$B$22*B8^2+Regression!$B$23*C8^2+Regression!$B$24*D8^2+Regression!$B$25*B8*C8+Regression!$B$26*B8*D8+Regression!$B$27*C8*D8</f>
        <v>12.227731481481483</v>
      </c>
      <c r="I8" s="31">
        <f>Regression!$C$18+Regression!$C$19*B8+Regression!$C$20*C8+Regression!$C$21*D8+Regression!$C$22*B8^2+Regression!$C$23*C8^2+Regression!$C$24*D8^2+Regression!$C$25*B8*C8+Regression!$C$26*B8*D8+Regression!$C$27*C8*D8</f>
        <v>85.595231481481463</v>
      </c>
    </row>
    <row r="10" spans="1:9">
      <c r="A10" s="19" t="s">
        <v>77</v>
      </c>
    </row>
  </sheetData>
  <phoneticPr fontId="12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README</vt:lpstr>
      <vt:lpstr>Design_Data</vt:lpstr>
      <vt:lpstr>ANOVA_Undercut</vt:lpstr>
      <vt:lpstr>ANOVA_Angle</vt:lpstr>
      <vt:lpstr>Regression</vt:lpstr>
      <vt:lpstr>Optimization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2026-07-20T08:31:44Z</dcterms:created>
  <dcterms:modified xsi:type="dcterms:W3CDTF">2026-07-20T08:39:50Z</dcterms:modified>
  <dc:language>en-US</dc:language>
</cp:coreProperties>
</file>